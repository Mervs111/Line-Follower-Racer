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Asumsi" sheetId="2" state="visible" r:id="rId2"/>
    <sheet name="Jadwal PM" sheetId="3" state="visible" r:id="rId3"/>
    <sheet name="Suku Cadang" sheetId="4" state="visible" r:id="rId4"/>
    <sheet name="CAPEX" sheetId="5" state="visible" r:id="rId5"/>
    <sheet name="OPEX" sheetId="6" state="visible" r:id="rId6"/>
  </sheets>
  <definedNames>
    <definedName name="n_robot">Asumsi!$C$7</definedName>
    <definedName name="n_operasi">Asumsi!$C$8</definedName>
    <definedName name="jam_hari">Asumsi!$C$9</definedName>
    <definedName name="hari_tahun">Asumsi!$C$10</definedName>
    <definedName name="utilisasi">Asumsi!$C$11</definedName>
    <definedName name="jam_jalan">Asumsi!$C$12</definedName>
    <definedName name="jam_robot">Asumsi!$C$13</definedName>
    <definedName name="runtime">Asumsi!$C$15</definedName>
    <definedName name="n_cas">Asumsi!$C$16</definedName>
    <definedName name="umur_baterai">Asumsi!$C$17</definedName>
    <definedName name="umur_motor">Asumsi!$C$18</definedName>
    <definedName name="umur_ban">Asumsi!$C$19</definedName>
    <definedName name="umur_caster">Asumsi!$C$20</definedName>
    <definedName name="laju_modul">Asumsi!$C$21</definedName>
    <definedName name="laju_sensor">Asumsi!$C$22</definedName>
    <definedName name="mttr">Asumsi!$C$23</definedName>
    <definedName name="umk">Asumsi!$C$25</definedName>
    <definedName name="beban_upah">Asumsi!$C$26</definedName>
    <definedName name="jam_bulan">Asumsi!$C$27</definedName>
    <definedName name="tarif_teknisi">Asumsi!$C$28</definedName>
    <definedName name="eskalasi">Asumsi!$C$30</definedName>
    <definedName name="kontingensi">Asumsi!$C$31</definedName>
    <definedName name="tarif_listrik">Asumsi!$C$32</definedName>
    <definedName name="v_baterai">Asumsi!$C$33</definedName>
    <definedName name="kap_baterai">Asumsi!$C$34</definedName>
    <definedName name="efisiensi">Asumsi!$C$35</definedName>
    <definedName name="wh_cas">Asumsi!$C$36</definedName>
    <definedName name="panjang_lintasan">Asumsi!$C$37</definedName>
    <definedName name="ganti_lintasan">Asumsi!$C$38</definedName>
    <definedName name="pagu">Asumsi!$C$39</definedName>
    <definedName name="tahun_awal">Asumsi!$C$40</definedName>
    <definedName name="jam_pm">'Jadwal PM'!$J$14</definedName>
    <definedName name="biaya_sc_tahun">'Suku Cadang'!$M$25</definedName>
    <definedName name="biaya_stok_awal">'Suku Cadang'!$N$25</definedName>
    <definedName name="jam_ganti">'Suku Cadang'!$K$26</definedName>
    <definedName name="n_ganti">'Suku Cadang'!$K$25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#,##0.0;(#,##0.0);&quot;-&quot;"/>
    <numFmt numFmtId="167" formatCode="#,##0.00;(#,##0.00);&quot;-&quot;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rgb="00808080"/>
      <sz val="10"/>
    </font>
    <font>
      <name val="Arial"/>
      <color rgb="00808080"/>
      <sz val="8"/>
    </font>
    <font>
      <name val="Arial"/>
      <color rgb="00000000"/>
      <sz val="8"/>
    </font>
  </fonts>
  <fills count="6">
    <fill>
      <patternFill/>
    </fill>
    <fill>
      <patternFill patternType="gray125"/>
    </fill>
    <fill>
      <patternFill patternType="solid">
        <fgColor rgb="001F2C57"/>
      </patternFill>
    </fill>
    <fill>
      <patternFill patternType="solid">
        <fgColor rgb="00DCE3F0"/>
      </patternFill>
    </fill>
    <fill>
      <patternFill patternType="solid">
        <fgColor rgb="00FFFF00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B8C2D3"/>
      </left>
      <right style="thin">
        <color rgb="00B8C2D3"/>
      </right>
      <top style="thin">
        <color rgb="00B8C2D3"/>
      </top>
      <bottom style="thin">
        <color rgb="00B8C2D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/>
    </xf>
    <xf numFmtId="1" fontId="5" fillId="5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7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164" fontId="4" fillId="5" borderId="1" applyAlignment="1" pivotButton="0" quotePrefix="0" xfId="0">
      <alignment vertical="top"/>
    </xf>
    <xf numFmtId="165" fontId="4" fillId="5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164" fontId="3" fillId="2" borderId="1" applyAlignment="1" pivotButton="0" quotePrefix="0" xfId="0">
      <alignment vertical="top"/>
    </xf>
    <xf numFmtId="165" fontId="3" fillId="2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/>
    </xf>
    <xf numFmtId="165" fontId="7" fillId="0" borderId="1" applyAlignment="1" pivotButton="0" quotePrefix="0" xfId="0">
      <alignment vertical="top"/>
    </xf>
    <xf numFmtId="164" fontId="6" fillId="4" borderId="1" applyAlignment="1" pivotButton="0" quotePrefix="0" xfId="0">
      <alignment vertical="top"/>
    </xf>
    <xf numFmtId="165" fontId="6" fillId="4" borderId="1" applyAlignment="1" pivotButton="0" quotePrefix="0" xfId="0">
      <alignment vertical="top"/>
    </xf>
    <xf numFmtId="166" fontId="6" fillId="4" borderId="1" applyAlignment="1" pivotButton="0" quotePrefix="0" xfId="0">
      <alignment vertical="top"/>
    </xf>
    <xf numFmtId="167" fontId="6" fillId="4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" fontId="6" fillId="4" borderId="1" applyAlignment="1" pivotButton="0" quotePrefix="0" xfId="0">
      <alignment vertical="top"/>
    </xf>
    <xf numFmtId="164" fontId="6" fillId="0" borderId="1" applyAlignment="1" pivotButton="0" quotePrefix="0" xfId="0">
      <alignment vertical="top"/>
    </xf>
    <xf numFmtId="166" fontId="4" fillId="5" borderId="1" applyAlignment="1" pivotButton="0" quotePrefix="0" xfId="0">
      <alignment vertical="top"/>
    </xf>
    <xf numFmtId="166" fontId="5" fillId="5" borderId="1" applyAlignment="1" pivotButton="0" quotePrefix="0" xfId="0">
      <alignment vertical="top"/>
    </xf>
    <xf numFmtId="165" fontId="6" fillId="0" borderId="1" applyAlignment="1" pivotButton="0" quotePrefix="0" xfId="0">
      <alignment vertical="top"/>
    </xf>
    <xf numFmtId="164" fontId="6" fillId="0" borderId="1" applyAlignment="1" pivotButton="0" quotePrefix="0" xfId="0">
      <alignment horizontal="center" vertical="top"/>
    </xf>
    <xf numFmtId="0" fontId="9" fillId="0" borderId="0" applyAlignment="1" pivotButton="0" quotePrefix="0" xfId="0">
      <alignment vertical="top"/>
    </xf>
    <xf numFmtId="1" fontId="8" fillId="0" borderId="0" applyAlignment="1" pivotButton="0" quotePrefix="0" xfId="0">
      <alignment horizontal="center" vertical="top"/>
    </xf>
    <xf numFmtId="0" fontId="10" fillId="5" borderId="1" applyAlignment="1" pivotButton="0" quotePrefix="0" xfId="0">
      <alignment vertical="top"/>
    </xf>
    <xf numFmtId="166" fontId="6" fillId="0" borderId="1" applyAlignment="1" pivotButton="0" quotePrefix="0" xfId="0">
      <alignment vertical="top"/>
    </xf>
    <xf numFmtId="164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11" customWidth="1" min="9" max="9"/>
  </cols>
  <sheetData>
    <row r="1">
      <c r="A1" s="1" t="inlineStr">
        <is>
          <t>RENCANA ANGGARAN BIAYA (RAB) CAPEX &amp; OPEX PEMELIHARAAN - 5 TAHUN</t>
        </is>
      </c>
    </row>
    <row r="2">
      <c r="A2" s="2" t="inlineStr">
        <is>
          <t>Sistem: armada AGV mini line tracer, 5 unit (4 beroperasi + 1 cadangan), hasil PjBL P01 Kelompok 5</t>
        </is>
      </c>
    </row>
    <row r="3">
      <c r="A3" s="3" t="inlineStr">
        <is>
          <t>Disusun oleh: Unit Maintenance  |  Diajukan kepada: Kepala Plant &amp; Bagian Keuangan  |  Tugas Merancang RAB - Teknik Perawatan dan Perbaikan (B)</t>
        </is>
      </c>
    </row>
    <row r="4">
      <c r="A4" s="3" t="inlineStr">
        <is>
          <t>Harga dalam Rupiah. Angka tahun 2-5 sudah termasuk eskalasi harga. Detail perhitungan di sheet Asumsi, Jadwal PM, Suku Cadang, CAPEX, dan OPEX.</t>
        </is>
      </c>
    </row>
    <row r="5"/>
    <row r="6" ht="30" customHeight="1">
      <c r="A6" s="4" t="inlineStr">
        <is>
          <t>No</t>
        </is>
      </c>
      <c r="B6" s="4" t="inlineStr">
        <is>
          <t>Pos anggaran</t>
        </is>
      </c>
      <c r="C6" s="4" t="inlineStr">
        <is>
          <t>Tahun 1</t>
        </is>
      </c>
      <c r="D6" s="4" t="inlineStr">
        <is>
          <t>Tahun 2</t>
        </is>
      </c>
      <c r="E6" s="4" t="inlineStr">
        <is>
          <t>Tahun 3</t>
        </is>
      </c>
      <c r="F6" s="4" t="inlineStr">
        <is>
          <t>Tahun 4</t>
        </is>
      </c>
      <c r="G6" s="4" t="inlineStr">
        <is>
          <t>Tahun 5</t>
        </is>
      </c>
      <c r="H6" s="4" t="inlineStr">
        <is>
          <t>Total 5 tahun</t>
        </is>
      </c>
      <c r="I6" s="4" t="inlineStr">
        <is>
          <t>% dari total</t>
        </is>
      </c>
    </row>
    <row r="7">
      <c r="A7" s="5" t="n"/>
      <c r="B7" s="5" t="inlineStr">
        <is>
          <t>Tahun anggaran</t>
        </is>
      </c>
      <c r="C7" s="6">
        <f>tahun_awal+0</f>
        <v/>
      </c>
      <c r="D7" s="6">
        <f>tahun_awal+1</f>
        <v/>
      </c>
      <c r="E7" s="6">
        <f>tahun_awal+2</f>
        <v/>
      </c>
      <c r="F7" s="6">
        <f>tahun_awal+3</f>
        <v/>
      </c>
      <c r="G7" s="6">
        <f>tahun_awal+4</f>
        <v/>
      </c>
      <c r="H7" s="5" t="n"/>
      <c r="I7" s="5" t="n"/>
    </row>
    <row r="8">
      <c r="A8" s="7" t="inlineStr">
        <is>
          <t>A</t>
        </is>
      </c>
      <c r="B8" s="7" t="inlineStr">
        <is>
          <t>CAPEX (pengadaan alat &amp; stok awal)</t>
        </is>
      </c>
      <c r="C8" s="8" t="n"/>
      <c r="D8" s="8" t="n"/>
      <c r="E8" s="8" t="n"/>
      <c r="F8" s="8" t="n"/>
      <c r="G8" s="8" t="n"/>
      <c r="H8" s="8" t="n"/>
      <c r="I8" s="8" t="n"/>
    </row>
    <row r="9">
      <c r="A9" s="9" t="inlineStr">
        <is>
          <t>A.1</t>
        </is>
      </c>
      <c r="B9" s="10" t="inlineStr">
        <is>
          <t>Peralatan kerja &amp; alat ukur</t>
        </is>
      </c>
      <c r="C9" s="11">
        <f>SUMIFS(CAPEX!$I$6:$I$28,CAPEX!$B$6:$B$28,$B9,CAPEX!$J$6:$J$28,1)</f>
        <v/>
      </c>
      <c r="D9" s="11">
        <f>SUMIFS(CAPEX!$I$6:$I$28,CAPEX!$B$6:$B$28,$B9,CAPEX!$J$6:$J$28,2)</f>
        <v/>
      </c>
      <c r="E9" s="11">
        <f>SUMIFS(CAPEX!$I$6:$I$28,CAPEX!$B$6:$B$28,$B9,CAPEX!$J$6:$J$28,3)</f>
        <v/>
      </c>
      <c r="F9" s="11">
        <f>SUMIFS(CAPEX!$I$6:$I$28,CAPEX!$B$6:$B$28,$B9,CAPEX!$J$6:$J$28,4)</f>
        <v/>
      </c>
      <c r="G9" s="11">
        <f>SUMIFS(CAPEX!$I$6:$I$28,CAPEX!$B$6:$B$28,$B9,CAPEX!$J$6:$J$28,5)</f>
        <v/>
      </c>
      <c r="H9" s="12">
        <f>SUM(C9:G9)</f>
        <v/>
      </c>
      <c r="I9" s="13">
        <f>IF($H$23=0,0,H9/$H$23)</f>
        <v/>
      </c>
    </row>
    <row r="10">
      <c r="A10" s="9" t="inlineStr">
        <is>
          <t>A.2</t>
        </is>
      </c>
      <c r="B10" s="10" t="inlineStr">
        <is>
          <t>Infrastruktur perawatan</t>
        </is>
      </c>
      <c r="C10" s="11">
        <f>SUMIFS(CAPEX!$I$6:$I$28,CAPEX!$B$6:$B$28,$B10,CAPEX!$J$6:$J$28,1)</f>
        <v/>
      </c>
      <c r="D10" s="11">
        <f>SUMIFS(CAPEX!$I$6:$I$28,CAPEX!$B$6:$B$28,$B10,CAPEX!$J$6:$J$28,2)</f>
        <v/>
      </c>
      <c r="E10" s="11">
        <f>SUMIFS(CAPEX!$I$6:$I$28,CAPEX!$B$6:$B$28,$B10,CAPEX!$J$6:$J$28,3)</f>
        <v/>
      </c>
      <c r="F10" s="11">
        <f>SUMIFS(CAPEX!$I$6:$I$28,CAPEX!$B$6:$B$28,$B10,CAPEX!$J$6:$J$28,4)</f>
        <v/>
      </c>
      <c r="G10" s="11">
        <f>SUMIFS(CAPEX!$I$6:$I$28,CAPEX!$B$6:$B$28,$B10,CAPEX!$J$6:$J$28,5)</f>
        <v/>
      </c>
      <c r="H10" s="12">
        <f>SUM(C10:G10)</f>
        <v/>
      </c>
      <c r="I10" s="13">
        <f>IF($H$23=0,0,H10/$H$23)</f>
        <v/>
      </c>
    </row>
    <row r="11">
      <c r="A11" s="9" t="inlineStr">
        <is>
          <t>A.3</t>
        </is>
      </c>
      <c r="B11" s="10" t="inlineStr">
        <is>
          <t>Stok awal suku cadang kritis</t>
        </is>
      </c>
      <c r="C11" s="11">
        <f>SUMIFS(CAPEX!$I$6:$I$28,CAPEX!$B$6:$B$28,$B11,CAPEX!$J$6:$J$28,1)</f>
        <v/>
      </c>
      <c r="D11" s="11">
        <f>SUMIFS(CAPEX!$I$6:$I$28,CAPEX!$B$6:$B$28,$B11,CAPEX!$J$6:$J$28,2)</f>
        <v/>
      </c>
      <c r="E11" s="11">
        <f>SUMIFS(CAPEX!$I$6:$I$28,CAPEX!$B$6:$B$28,$B11,CAPEX!$J$6:$J$28,3)</f>
        <v/>
      </c>
      <c r="F11" s="11">
        <f>SUMIFS(CAPEX!$I$6:$I$28,CAPEX!$B$6:$B$28,$B11,CAPEX!$J$6:$J$28,4)</f>
        <v/>
      </c>
      <c r="G11" s="11">
        <f>SUMIFS(CAPEX!$I$6:$I$28,CAPEX!$B$6:$B$28,$B11,CAPEX!$J$6:$J$28,5)</f>
        <v/>
      </c>
      <c r="H11" s="12">
        <f>SUM(C11:G11)</f>
        <v/>
      </c>
      <c r="I11" s="13">
        <f>IF($H$23=0,0,H11/$H$23)</f>
        <v/>
      </c>
    </row>
    <row r="12">
      <c r="A12" s="9" t="inlineStr">
        <is>
          <t>A.4</t>
        </is>
      </c>
      <c r="B12" s="10" t="inlineStr">
        <is>
          <t>Pelatihan &amp; dokumentasi awal</t>
        </is>
      </c>
      <c r="C12" s="11">
        <f>SUMIFS(CAPEX!$I$6:$I$28,CAPEX!$B$6:$B$28,$B12,CAPEX!$J$6:$J$28,1)</f>
        <v/>
      </c>
      <c r="D12" s="11">
        <f>SUMIFS(CAPEX!$I$6:$I$28,CAPEX!$B$6:$B$28,$B12,CAPEX!$J$6:$J$28,2)</f>
        <v/>
      </c>
      <c r="E12" s="11">
        <f>SUMIFS(CAPEX!$I$6:$I$28,CAPEX!$B$6:$B$28,$B12,CAPEX!$J$6:$J$28,3)</f>
        <v/>
      </c>
      <c r="F12" s="11">
        <f>SUMIFS(CAPEX!$I$6:$I$28,CAPEX!$B$6:$B$28,$B12,CAPEX!$J$6:$J$28,4)</f>
        <v/>
      </c>
      <c r="G12" s="11">
        <f>SUMIFS(CAPEX!$I$6:$I$28,CAPEX!$B$6:$B$28,$B12,CAPEX!$J$6:$J$28,5)</f>
        <v/>
      </c>
      <c r="H12" s="12">
        <f>SUM(C12:G12)</f>
        <v/>
      </c>
      <c r="I12" s="13">
        <f>IF($H$23=0,0,H12/$H$23)</f>
        <v/>
      </c>
    </row>
    <row r="13">
      <c r="A13" s="5" t="n"/>
      <c r="B13" s="14" t="inlineStr">
        <is>
          <t>Subtotal CAPEX</t>
        </is>
      </c>
      <c r="C13" s="15">
        <f>SUM(C9:C12)</f>
        <v/>
      </c>
      <c r="D13" s="15">
        <f>SUM(D9:D12)</f>
        <v/>
      </c>
      <c r="E13" s="15">
        <f>SUM(E9:E12)</f>
        <v/>
      </c>
      <c r="F13" s="15">
        <f>SUM(F9:F12)</f>
        <v/>
      </c>
      <c r="G13" s="15">
        <f>SUM(G9:G12)</f>
        <v/>
      </c>
      <c r="H13" s="15">
        <f>SUM(H9:H12)</f>
        <v/>
      </c>
      <c r="I13" s="16">
        <f>IF($H$23=0,0,H13/$H$23)</f>
        <v/>
      </c>
    </row>
    <row r="14">
      <c r="A14" s="7" t="inlineStr">
        <is>
          <t>B</t>
        </is>
      </c>
      <c r="B14" s="7" t="inlineStr">
        <is>
          <t>OPEX (biaya pemeliharaan rutin)</t>
        </is>
      </c>
      <c r="C14" s="8" t="n"/>
      <c r="D14" s="8" t="n"/>
      <c r="E14" s="8" t="n"/>
      <c r="F14" s="8" t="n"/>
      <c r="G14" s="8" t="n"/>
      <c r="H14" s="8" t="n"/>
      <c r="I14" s="8" t="n"/>
    </row>
    <row r="15">
      <c r="A15" s="9" t="inlineStr">
        <is>
          <t>B.1</t>
        </is>
      </c>
      <c r="B15" s="10" t="inlineStr">
        <is>
          <t>Suku cadang penggantian</t>
        </is>
      </c>
      <c r="C15" s="11">
        <f>SUMIFS(OPEX!I$8:I$21,OPEX!$B$8:$B$21,$B15)</f>
        <v/>
      </c>
      <c r="D15" s="11">
        <f>SUMIFS(OPEX!J$8:J$21,OPEX!$B$8:$B$21,$B15)</f>
        <v/>
      </c>
      <c r="E15" s="11">
        <f>SUMIFS(OPEX!K$8:K$21,OPEX!$B$8:$B$21,$B15)</f>
        <v/>
      </c>
      <c r="F15" s="11">
        <f>SUMIFS(OPEX!L$8:L$21,OPEX!$B$8:$B$21,$B15)</f>
        <v/>
      </c>
      <c r="G15" s="11">
        <f>SUMIFS(OPEX!M$8:M$21,OPEX!$B$8:$B$21,$B15)</f>
        <v/>
      </c>
      <c r="H15" s="12">
        <f>SUM(C15:G15)</f>
        <v/>
      </c>
      <c r="I15" s="13">
        <f>IF($H$23=0,0,H15/$H$23)</f>
        <v/>
      </c>
    </row>
    <row r="16">
      <c r="A16" s="9" t="inlineStr">
        <is>
          <t>B.2</t>
        </is>
      </c>
      <c r="B16" s="10" t="inlineStr">
        <is>
          <t>Bahan habis pakai</t>
        </is>
      </c>
      <c r="C16" s="11">
        <f>SUMIFS(OPEX!I$8:I$21,OPEX!$B$8:$B$21,$B16)</f>
        <v/>
      </c>
      <c r="D16" s="11">
        <f>SUMIFS(OPEX!J$8:J$21,OPEX!$B$8:$B$21,$B16)</f>
        <v/>
      </c>
      <c r="E16" s="11">
        <f>SUMIFS(OPEX!K$8:K$21,OPEX!$B$8:$B$21,$B16)</f>
        <v/>
      </c>
      <c r="F16" s="11">
        <f>SUMIFS(OPEX!L$8:L$21,OPEX!$B$8:$B$21,$B16)</f>
        <v/>
      </c>
      <c r="G16" s="11">
        <f>SUMIFS(OPEX!M$8:M$21,OPEX!$B$8:$B$21,$B16)</f>
        <v/>
      </c>
      <c r="H16" s="12">
        <f>SUM(C16:G16)</f>
        <v/>
      </c>
      <c r="I16" s="13">
        <f>IF($H$23=0,0,H16/$H$23)</f>
        <v/>
      </c>
    </row>
    <row r="17">
      <c r="A17" s="9" t="inlineStr">
        <is>
          <t>B.3</t>
        </is>
      </c>
      <c r="B17" s="10" t="inlineStr">
        <is>
          <t>Tenaga kerja pemeliharaan</t>
        </is>
      </c>
      <c r="C17" s="11">
        <f>SUMIFS(OPEX!I$8:I$21,OPEX!$B$8:$B$21,$B17)</f>
        <v/>
      </c>
      <c r="D17" s="11">
        <f>SUMIFS(OPEX!J$8:J$21,OPEX!$B$8:$B$21,$B17)</f>
        <v/>
      </c>
      <c r="E17" s="11">
        <f>SUMIFS(OPEX!K$8:K$21,OPEX!$B$8:$B$21,$B17)</f>
        <v/>
      </c>
      <c r="F17" s="11">
        <f>SUMIFS(OPEX!L$8:L$21,OPEX!$B$8:$B$21,$B17)</f>
        <v/>
      </c>
      <c r="G17" s="11">
        <f>SUMIFS(OPEX!M$8:M$21,OPEX!$B$8:$B$21,$B17)</f>
        <v/>
      </c>
      <c r="H17" s="12">
        <f>SUM(C17:G17)</f>
        <v/>
      </c>
      <c r="I17" s="13">
        <f>IF($H$23=0,0,H17/$H$23)</f>
        <v/>
      </c>
    </row>
    <row r="18">
      <c r="A18" s="9" t="inlineStr">
        <is>
          <t>B.4</t>
        </is>
      </c>
      <c r="B18" s="10" t="inlineStr">
        <is>
          <t>Kalibrasi alat ukur</t>
        </is>
      </c>
      <c r="C18" s="11">
        <f>SUMIFS(OPEX!I$8:I$21,OPEX!$B$8:$B$21,$B18)</f>
        <v/>
      </c>
      <c r="D18" s="11">
        <f>SUMIFS(OPEX!J$8:J$21,OPEX!$B$8:$B$21,$B18)</f>
        <v/>
      </c>
      <c r="E18" s="11">
        <f>SUMIFS(OPEX!K$8:K$21,OPEX!$B$8:$B$21,$B18)</f>
        <v/>
      </c>
      <c r="F18" s="11">
        <f>SUMIFS(OPEX!L$8:L$21,OPEX!$B$8:$B$21,$B18)</f>
        <v/>
      </c>
      <c r="G18" s="11">
        <f>SUMIFS(OPEX!M$8:M$21,OPEX!$B$8:$B$21,$B18)</f>
        <v/>
      </c>
      <c r="H18" s="12">
        <f>SUM(C18:G18)</f>
        <v/>
      </c>
      <c r="I18" s="13">
        <f>IF($H$23=0,0,H18/$H$23)</f>
        <v/>
      </c>
    </row>
    <row r="19">
      <c r="A19" s="9" t="inlineStr">
        <is>
          <t>B.5</t>
        </is>
      </c>
      <c r="B19" s="10" t="inlineStr">
        <is>
          <t>Pelatihan penyegaran</t>
        </is>
      </c>
      <c r="C19" s="11">
        <f>SUMIFS(OPEX!I$8:I$21,OPEX!$B$8:$B$21,$B19)</f>
        <v/>
      </c>
      <c r="D19" s="11">
        <f>SUMIFS(OPEX!J$8:J$21,OPEX!$B$8:$B$21,$B19)</f>
        <v/>
      </c>
      <c r="E19" s="11">
        <f>SUMIFS(OPEX!K$8:K$21,OPEX!$B$8:$B$21,$B19)</f>
        <v/>
      </c>
      <c r="F19" s="11">
        <f>SUMIFS(OPEX!L$8:L$21,OPEX!$B$8:$B$21,$B19)</f>
        <v/>
      </c>
      <c r="G19" s="11">
        <f>SUMIFS(OPEX!M$8:M$21,OPEX!$B$8:$B$21,$B19)</f>
        <v/>
      </c>
      <c r="H19" s="12">
        <f>SUM(C19:G19)</f>
        <v/>
      </c>
      <c r="I19" s="13">
        <f>IF($H$23=0,0,H19/$H$23)</f>
        <v/>
      </c>
    </row>
    <row r="20">
      <c r="A20" s="9" t="inlineStr">
        <is>
          <t>B.6</t>
        </is>
      </c>
      <c r="B20" s="10" t="inlineStr">
        <is>
          <t>Listrik pengisian baterai</t>
        </is>
      </c>
      <c r="C20" s="11">
        <f>SUMIFS(OPEX!I$8:I$21,OPEX!$B$8:$B$21,$B20)</f>
        <v/>
      </c>
      <c r="D20" s="11">
        <f>SUMIFS(OPEX!J$8:J$21,OPEX!$B$8:$B$21,$B20)</f>
        <v/>
      </c>
      <c r="E20" s="11">
        <f>SUMIFS(OPEX!K$8:K$21,OPEX!$B$8:$B$21,$B20)</f>
        <v/>
      </c>
      <c r="F20" s="11">
        <f>SUMIFS(OPEX!L$8:L$21,OPEX!$B$8:$B$21,$B20)</f>
        <v/>
      </c>
      <c r="G20" s="11">
        <f>SUMIFS(OPEX!M$8:M$21,OPEX!$B$8:$B$21,$B20)</f>
        <v/>
      </c>
      <c r="H20" s="12">
        <f>SUM(C20:G20)</f>
        <v/>
      </c>
      <c r="I20" s="13">
        <f>IF($H$23=0,0,H20/$H$23)</f>
        <v/>
      </c>
    </row>
    <row r="21">
      <c r="A21" s="9" t="inlineStr">
        <is>
          <t>B.7</t>
        </is>
      </c>
      <c r="B21" s="10" t="inlineStr">
        <is>
          <t>Kontingensi (persentase di sheet Asumsi)</t>
        </is>
      </c>
      <c r="C21" s="11">
        <f>OPEX!I23</f>
        <v/>
      </c>
      <c r="D21" s="11">
        <f>OPEX!J23</f>
        <v/>
      </c>
      <c r="E21" s="11">
        <f>OPEX!K23</f>
        <v/>
      </c>
      <c r="F21" s="11">
        <f>OPEX!L23</f>
        <v/>
      </c>
      <c r="G21" s="11">
        <f>OPEX!M23</f>
        <v/>
      </c>
      <c r="H21" s="12">
        <f>SUM(C21:G21)</f>
        <v/>
      </c>
      <c r="I21" s="13">
        <f>IF($H$23=0,0,H21/$H$23)</f>
        <v/>
      </c>
    </row>
    <row r="22">
      <c r="A22" s="5" t="n"/>
      <c r="B22" s="14" t="inlineStr">
        <is>
          <t>Subtotal OPEX</t>
        </is>
      </c>
      <c r="C22" s="15">
        <f>SUM(C15:C21)</f>
        <v/>
      </c>
      <c r="D22" s="15">
        <f>SUM(D15:D21)</f>
        <v/>
      </c>
      <c r="E22" s="15">
        <f>SUM(E15:E21)</f>
        <v/>
      </c>
      <c r="F22" s="15">
        <f>SUM(F15:F21)</f>
        <v/>
      </c>
      <c r="G22" s="15">
        <f>SUM(G15:G21)</f>
        <v/>
      </c>
      <c r="H22" s="15">
        <f>SUM(H15:H21)</f>
        <v/>
      </c>
      <c r="I22" s="16">
        <f>IF($H$23=0,0,H22/$H$23)</f>
        <v/>
      </c>
    </row>
    <row r="23">
      <c r="A23" s="17" t="n"/>
      <c r="B23" s="18" t="inlineStr">
        <is>
          <t>TOTAL RAB (CAPEX + OPEX)</t>
        </is>
      </c>
      <c r="C23" s="19">
        <f>C13+C22</f>
        <v/>
      </c>
      <c r="D23" s="19">
        <f>D13+D22</f>
        <v/>
      </c>
      <c r="E23" s="19">
        <f>E13+E22</f>
        <v/>
      </c>
      <c r="F23" s="19">
        <f>F13+F22</f>
        <v/>
      </c>
      <c r="G23" s="19">
        <f>G13+G22</f>
        <v/>
      </c>
      <c r="H23" s="19">
        <f>H13+H22</f>
        <v/>
      </c>
      <c r="I23" s="20">
        <f>IF($H$23=0,0,H23/$H$23)</f>
        <v/>
      </c>
    </row>
    <row r="24"/>
    <row r="25">
      <c r="B25" s="21" t="inlineStr">
        <is>
          <t>Kesesuaian dengan pagu</t>
        </is>
      </c>
    </row>
    <row r="26">
      <c r="B26" s="10" t="inlineStr">
        <is>
          <t>Pagu anggaran 5 tahun</t>
        </is>
      </c>
      <c r="C26" s="11">
        <f>pagu</f>
        <v/>
      </c>
    </row>
    <row r="27">
      <c r="B27" s="10" t="inlineStr">
        <is>
          <t>Total RAB 5 tahun</t>
        </is>
      </c>
      <c r="C27" s="12">
        <f>H23</f>
        <v/>
      </c>
    </row>
    <row r="28">
      <c r="B28" s="10" t="inlineStr">
        <is>
          <t>Sisa pagu</t>
        </is>
      </c>
      <c r="C28" s="12">
        <f>pagu-H23</f>
        <v/>
      </c>
    </row>
    <row r="29">
      <c r="B29" s="10" t="inlineStr">
        <is>
          <t>Persentase pagu terpakai</t>
        </is>
      </c>
      <c r="C29" s="13">
        <f>IF(pagu=0,0,H23/pagu)</f>
        <v/>
      </c>
    </row>
    <row r="30">
      <c r="B30" s="10" t="inlineStr">
        <is>
          <t>Status</t>
        </is>
      </c>
      <c r="C30" s="22">
        <f>IF(H23&lt;=pagu,"SESUAI - di bawah pagu","MELEBIHI PAGU - kurangi pos")</f>
        <v/>
      </c>
    </row>
    <row r="31"/>
    <row r="32">
      <c r="B32" s="21" t="inlineStr">
        <is>
          <t>Indikator pemeliharaan</t>
        </is>
      </c>
    </row>
    <row r="33">
      <c r="B33" s="23" t="inlineStr">
        <is>
          <t>Rata-rata biaya pemeliharaan per robot per tahun (Rp)</t>
        </is>
      </c>
      <c r="C33" s="11">
        <f>H23/n_robot/5</f>
        <v/>
      </c>
    </row>
    <row r="34">
      <c r="B34" s="23" t="inlineStr">
        <is>
          <t>Rata-rata biaya pemeliharaan per jam jalan robot (Rp/jam)</t>
        </is>
      </c>
      <c r="C34" s="11">
        <f>H23/(jam_jalan*5)</f>
        <v/>
      </c>
    </row>
    <row r="35">
      <c r="B35" s="23" t="inlineStr">
        <is>
          <t>Jam teknisi preventif per tahun</t>
        </is>
      </c>
      <c r="C35" s="24">
        <f>jam_pm</f>
        <v/>
      </c>
    </row>
    <row r="36">
      <c r="B36" s="23" t="inlineStr">
        <is>
          <t>Jam teknisi penggantian komponen per tahun</t>
        </is>
      </c>
      <c r="C36" s="24">
        <f>jam_ganti</f>
        <v/>
      </c>
    </row>
    <row r="37">
      <c r="B37" s="23" t="inlineStr">
        <is>
          <t>Porsi jam preventif dari total jam teknisi</t>
        </is>
      </c>
      <c r="C37" s="25">
        <f>IF(jam_pm+jam_ganti=0,0,jam_pm/(jam_pm+jam_ganti))</f>
        <v/>
      </c>
    </row>
    <row r="38">
      <c r="B38" s="23" t="inlineStr">
        <is>
          <t>Jumlah penggantian komponen per tahun (kejadian)</t>
        </is>
      </c>
      <c r="C38" s="11">
        <f>n_ganti</f>
        <v/>
      </c>
    </row>
    <row r="39">
      <c r="B39" s="23" t="inlineStr">
        <is>
          <t>Biaya teknisi per jam (Rp)</t>
        </is>
      </c>
      <c r="C39" s="11">
        <f>tarif_teknisi</f>
        <v/>
      </c>
    </row>
    <row r="40"/>
    <row r="41">
      <c r="B41" s="21" t="inlineStr">
        <is>
          <t>Catatan</t>
        </is>
      </c>
    </row>
    <row r="42">
      <c r="B42" s="2" t="inlineStr">
        <is>
          <t>1. Harga robot tidak termasuk: robot sudah terpasang dan beroperasi; RAB ini hanya biaya pemeliharaannya.</t>
        </is>
      </c>
    </row>
    <row r="43">
      <c r="B43" s="2" t="inlineStr">
        <is>
          <t>2. CAPEX dibeli di tahun 1. Stok awal suku cadang kritis disimpan supaya robot rusak bisa langsung diperbaiki.</t>
        </is>
      </c>
    </row>
    <row r="44">
      <c r="B44" s="2" t="inlineStr">
        <is>
          <t>3. Kebutuhan suku cadang dihitung dari jam jalan (motor, ban, caster), siklus baterai, dan laju kerusakan modul.</t>
        </is>
      </c>
    </row>
    <row r="45">
      <c r="B45" s="2" t="inlineStr">
        <is>
          <t>4. Strategi: preventif terjadwal (sheet Jadwal PM) + penggantian berbasis kondisi dari hasil ukur baterai &amp; RPM.</t>
        </is>
      </c>
    </row>
    <row r="46">
      <c r="B46" s="2" t="inlineStr">
        <is>
          <t>5. Ubah asumsi di sheet Asumsi (sel kuning) bila data riwayat tahun pertama menunjukkan angka berbeda.</t>
        </is>
      </c>
    </row>
  </sheetData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6" customWidth="1" min="3" max="3"/>
    <col width="18" customWidth="1" min="4" max="4"/>
    <col width="92" customWidth="1" min="5" max="5"/>
  </cols>
  <sheetData>
    <row r="1">
      <c r="A1" s="1" t="inlineStr">
        <is>
          <t>Asumsi &amp; Parameter Perhitungan</t>
        </is>
      </c>
    </row>
    <row r="2">
      <c r="A2" s="3" t="inlineStr">
        <is>
          <t>Sel biru berlatar kuning = asumsi yang boleh diubah. Semua angka di sheet lain dihitung ulang otomatis.</t>
        </is>
      </c>
    </row>
    <row r="3">
      <c r="A3" s="3" t="inlineStr">
        <is>
          <t>Sel hitam = rumus. Sel hijau = mengambil angka dari sheet lain.</t>
        </is>
      </c>
    </row>
    <row r="4"/>
    <row r="5" ht="30" customHeight="1">
      <c r="A5" s="4" t="inlineStr">
        <is>
          <t>No</t>
        </is>
      </c>
      <c r="B5" s="4" t="inlineStr">
        <is>
          <t>Parameter</t>
        </is>
      </c>
      <c r="C5" s="4" t="inlineStr">
        <is>
          <t>Nilai</t>
        </is>
      </c>
      <c r="D5" s="4" t="inlineStr">
        <is>
          <t>Satuan</t>
        </is>
      </c>
      <c r="E5" s="4" t="inlineStr">
        <is>
          <t>Sumber / dasar</t>
        </is>
      </c>
    </row>
    <row r="6">
      <c r="A6" s="7" t="inlineStr">
        <is>
          <t>A</t>
        </is>
      </c>
      <c r="B6" s="7" t="inlineStr">
        <is>
          <t>Sistem &amp; pola operasi</t>
        </is>
      </c>
      <c r="C6" s="8" t="n"/>
      <c r="D6" s="8" t="n"/>
      <c r="E6" s="8" t="n"/>
    </row>
    <row r="7">
      <c r="A7" s="9" t="n">
        <v>1</v>
      </c>
      <c r="B7" s="23" t="inlineStr">
        <is>
          <t>Jumlah robot terpasang</t>
        </is>
      </c>
      <c r="C7" s="26" t="n">
        <v>5</v>
      </c>
      <c r="D7" s="23" t="inlineStr">
        <is>
          <t>unit</t>
        </is>
      </c>
      <c r="E7" s="23" t="inlineStr">
        <is>
          <t>Skenario: armada AGV mini line tracer (hasil PjBL) pengantar part/kanban antar stasiun kerja; 4 unit jalan + 1 unit cadangan rotasi</t>
        </is>
      </c>
    </row>
    <row r="8">
      <c r="A8" s="9" t="n">
        <v>2</v>
      </c>
      <c r="B8" s="23" t="inlineStr">
        <is>
          <t>Robot beroperasi bersamaan</t>
        </is>
      </c>
      <c r="C8" s="26" t="n">
        <v>4</v>
      </c>
      <c r="D8" s="23" t="inlineStr">
        <is>
          <t>unit</t>
        </is>
      </c>
      <c r="E8" s="23" t="inlineStr">
        <is>
          <t>Skenario: 1 unit selalu cadangan (dirotasi saat perawatan/pengisian)</t>
        </is>
      </c>
    </row>
    <row r="9">
      <c r="A9" s="9" t="n">
        <v>3</v>
      </c>
      <c r="B9" s="23" t="inlineStr">
        <is>
          <t>Jam operasi per hari</t>
        </is>
      </c>
      <c r="C9" s="26" t="n">
        <v>8</v>
      </c>
      <c r="D9" s="23" t="inlineStr">
        <is>
          <t>jam</t>
        </is>
      </c>
      <c r="E9" s="23" t="inlineStr">
        <is>
          <t>Skenario: 1 shift</t>
        </is>
      </c>
    </row>
    <row r="10">
      <c r="A10" s="9" t="n">
        <v>4</v>
      </c>
      <c r="B10" s="23" t="inlineStr">
        <is>
          <t>Hari operasi per tahun</t>
        </is>
      </c>
      <c r="C10" s="26" t="n">
        <v>300</v>
      </c>
      <c r="D10" s="23" t="inlineStr">
        <is>
          <t>hari</t>
        </is>
      </c>
      <c r="E10" s="23" t="inlineStr">
        <is>
          <t>Skenario: 6 hari kerja per minggu dikurangi libur nasional</t>
        </is>
      </c>
    </row>
    <row r="11">
      <c r="A11" s="9" t="n">
        <v>5</v>
      </c>
      <c r="B11" s="23" t="inlineStr">
        <is>
          <t>Utilisasi robot selama shift</t>
        </is>
      </c>
      <c r="C11" s="27" t="n">
        <v>0.6</v>
      </c>
      <c r="D11" s="23" t="inlineStr">
        <is>
          <t>-</t>
        </is>
      </c>
      <c r="E11" s="23" t="inlineStr">
        <is>
          <t>Skenario: robot hanya berjalan saat ada misi antar (60% waktu shift)</t>
        </is>
      </c>
    </row>
    <row r="12">
      <c r="A12" s="9" t="n">
        <v>6</v>
      </c>
      <c r="B12" s="23" t="inlineStr">
        <is>
          <t>Jam jalan armada per tahun</t>
        </is>
      </c>
      <c r="C12" s="12">
        <f>n_operasi*jam_hari*hari_tahun*utilisasi</f>
        <v/>
      </c>
      <c r="D12" s="23" t="inlineStr">
        <is>
          <t>jam/tahun</t>
        </is>
      </c>
      <c r="E12" s="23" t="inlineStr">
        <is>
          <t>Dihitung: robot beroperasi x jam/hari x hari/tahun x utilisasi</t>
        </is>
      </c>
    </row>
    <row r="13">
      <c r="A13" s="9" t="n">
        <v>7</v>
      </c>
      <c r="B13" s="23" t="inlineStr">
        <is>
          <t>Rata-rata jam jalan per robot per tahun</t>
        </is>
      </c>
      <c r="C13" s="12">
        <f>jam_jalan/n_robot</f>
        <v/>
      </c>
      <c r="D13" s="23" t="inlineStr">
        <is>
          <t>jam/tahun</t>
        </is>
      </c>
      <c r="E13" s="23" t="inlineStr">
        <is>
          <t>Dihitung: beban dibagi rata ke semua robot karena rotasi</t>
        </is>
      </c>
    </row>
    <row r="14">
      <c r="A14" s="7" t="inlineStr">
        <is>
          <t>B</t>
        </is>
      </c>
      <c r="B14" s="7" t="inlineStr">
        <is>
          <t>Umur &amp; keandalan komponen</t>
        </is>
      </c>
      <c r="C14" s="8" t="n"/>
      <c r="D14" s="8" t="n"/>
      <c r="E14" s="8" t="n"/>
    </row>
    <row r="15">
      <c r="A15" s="9" t="n">
        <v>8</v>
      </c>
      <c r="B15" s="23" t="inlineStr">
        <is>
          <t>Waktu jalan per pengisian baterai</t>
        </is>
      </c>
      <c r="C15" s="28" t="n">
        <v>3</v>
      </c>
      <c r="D15" s="23" t="inlineStr">
        <is>
          <t>jam</t>
        </is>
      </c>
      <c r="E15" s="23" t="inlineStr">
        <is>
          <t>Charter proyek: baterai 2x18650, pemakaian +/-3 jam per pengisian</t>
        </is>
      </c>
    </row>
    <row r="16">
      <c r="A16" s="9" t="n">
        <v>9</v>
      </c>
      <c r="B16" s="23" t="inlineStr">
        <is>
          <t>Jumlah pengisian baterai per tahun</t>
        </is>
      </c>
      <c r="C16" s="12">
        <f>jam_jalan/runtime</f>
        <v/>
      </c>
      <c r="D16" s="23" t="inlineStr">
        <is>
          <t>kali/tahun</t>
        </is>
      </c>
      <c r="E16" s="23" t="inlineStr">
        <is>
          <t>Dihitung: jam jalan armada / waktu jalan per pengisian</t>
        </is>
      </c>
    </row>
    <row r="17">
      <c r="A17" s="9" t="n">
        <v>10</v>
      </c>
      <c r="B17" s="23" t="inlineStr">
        <is>
          <t>Umur siklus sel 18650</t>
        </is>
      </c>
      <c r="C17" s="26" t="n">
        <v>500</v>
      </c>
      <c r="D17" s="23" t="inlineStr">
        <is>
          <t>siklus</t>
        </is>
      </c>
      <c r="E17" s="23" t="inlineStr">
        <is>
          <t>Estimasi umum sel Li-ion konsumen (300-500 siklus sampai kapasitas 80%); dipakai nilai atas karena arus beban kecil</t>
        </is>
      </c>
    </row>
    <row r="18">
      <c r="A18" s="9" t="n">
        <v>11</v>
      </c>
      <c r="B18" s="23" t="inlineStr">
        <is>
          <t>Umur motor N20 (motor DC sikat)</t>
        </is>
      </c>
      <c r="C18" s="26" t="n">
        <v>1000</v>
      </c>
      <c r="D18" s="23" t="inlineStr">
        <is>
          <t>jam</t>
        </is>
      </c>
      <c r="E18" s="23" t="inlineStr">
        <is>
          <t>Estimasi kelompok untuk motor DC sikat ukuran kecil; diverifikasi dari data riwayat tahun pertama</t>
        </is>
      </c>
    </row>
    <row r="19">
      <c r="A19" s="9" t="n">
        <v>12</v>
      </c>
      <c r="B19" s="23" t="inlineStr">
        <is>
          <t>Umur ban roda silikon</t>
        </is>
      </c>
      <c r="C19" s="26" t="n">
        <v>1500</v>
      </c>
      <c r="D19" s="23" t="inlineStr">
        <is>
          <t>jam</t>
        </is>
      </c>
      <c r="E19" s="23" t="inlineStr">
        <is>
          <t>Estimasi kelompok (lantai pabrik halus); diverifikasi dari data riwayat</t>
        </is>
      </c>
    </row>
    <row r="20">
      <c r="A20" s="9" t="n">
        <v>13</v>
      </c>
      <c r="B20" s="23" t="inlineStr">
        <is>
          <t>Umur ball caster</t>
        </is>
      </c>
      <c r="C20" s="26" t="n">
        <v>3000</v>
      </c>
      <c r="D20" s="23" t="inlineStr">
        <is>
          <t>jam</t>
        </is>
      </c>
      <c r="E20" s="23" t="inlineStr">
        <is>
          <t>Estimasi kelompok</t>
        </is>
      </c>
    </row>
    <row r="21">
      <c r="A21" s="9" t="n">
        <v>14</v>
      </c>
      <c r="B21" s="23" t="inlineStr">
        <is>
          <t>Laju kerusakan modul elektronik</t>
        </is>
      </c>
      <c r="C21" s="27" t="n">
        <v>0.1</v>
      </c>
      <c r="D21" s="23" t="inlineStr">
        <is>
          <t>per unit per tahun</t>
        </is>
      </c>
      <c r="E21" s="23" t="inlineStr">
        <is>
          <t>Estimasi kelompok: 1 dari 10 modul rusak per tahun (salah colok, benturan, ESD)</t>
        </is>
      </c>
    </row>
    <row r="22">
      <c r="A22" s="9" t="n">
        <v>15</v>
      </c>
      <c r="B22" s="23" t="inlineStr">
        <is>
          <t>Laju kerusakan sensor IR</t>
        </is>
      </c>
      <c r="C22" s="27" t="n">
        <v>0.05</v>
      </c>
      <c r="D22" s="23" t="inlineStr">
        <is>
          <t>per sensor per tahun</t>
        </is>
      </c>
      <c r="E22" s="23" t="inlineStr">
        <is>
          <t>Estimasi kelompok: sensor di bawah PCB jarang terbentur</t>
        </is>
      </c>
    </row>
    <row r="23">
      <c r="A23" s="9" t="n">
        <v>16</v>
      </c>
      <c r="B23" s="23" t="inlineStr">
        <is>
          <t>Waktu rata-rata penggantian komponen (MTTR)</t>
        </is>
      </c>
      <c r="C23" s="28" t="n">
        <v>1</v>
      </c>
      <c r="D23" s="23" t="inlineStr">
        <is>
          <t>jam per kejadian</t>
        </is>
      </c>
      <c r="E23" s="23" t="inlineStr">
        <is>
          <t>Estimasi: modul dipasang lewat header/konektor; termasuk uji ulang di lintasan</t>
        </is>
      </c>
    </row>
    <row r="24">
      <c r="A24" s="7" t="inlineStr">
        <is>
          <t>C</t>
        </is>
      </c>
      <c r="B24" s="7" t="inlineStr">
        <is>
          <t>Tenaga kerja</t>
        </is>
      </c>
      <c r="C24" s="8" t="n"/>
      <c r="D24" s="8" t="n"/>
      <c r="E24" s="8" t="n"/>
    </row>
    <row r="25">
      <c r="A25" s="9" t="n">
        <v>17</v>
      </c>
      <c r="B25" s="23" t="inlineStr">
        <is>
          <t>UMK Kota Surabaya 2026</t>
        </is>
      </c>
      <c r="C25" s="26" t="n">
        <v>5288796</v>
      </c>
      <c r="D25" s="23" t="inlineStr">
        <is>
          <t>Rp/bulan</t>
        </is>
      </c>
      <c r="E25" s="23" t="inlineStr">
        <is>
          <t>Kepgub Jatim No. 100.3.3.1/937/013/2025 (berlaku 1 Jan 2026) - https://www.jawapos.com/surabaya-raya/2512250021/resmi-ini-daftar-umk-38-kabupatenkota-di-jawa-timur-2026-surabaya-nyaris-rp-53-juta</t>
        </is>
      </c>
    </row>
    <row r="26">
      <c r="A26" s="9" t="n">
        <v>18</v>
      </c>
      <c r="B26" s="23" t="inlineStr">
        <is>
          <t>Beban BPJS + THR pemberi kerja</t>
        </is>
      </c>
      <c r="C26" s="27" t="n">
        <v>0.189</v>
      </c>
      <c r="D26" s="23" t="inlineStr">
        <is>
          <t>dari upah</t>
        </is>
      </c>
      <c r="E26" s="23" t="inlineStr">
        <is>
          <t>BPJS Kesehatan 4% + BPJS Ketenagakerjaan +/-6,5% (JHT 3,7%, JP 2%, JKK 0,54%, JKM 0,3%) + THR 1/12 (8,33%)</t>
        </is>
      </c>
    </row>
    <row r="27">
      <c r="A27" s="9" t="n">
        <v>19</v>
      </c>
      <c r="B27" s="23" t="inlineStr">
        <is>
          <t>Pembagi upah per jam</t>
        </is>
      </c>
      <c r="C27" s="26" t="n">
        <v>173</v>
      </c>
      <c r="D27" s="23" t="inlineStr">
        <is>
          <t>jam/bulan</t>
        </is>
      </c>
      <c r="E27" s="23" t="inlineStr">
        <is>
          <t>PP 35/2021: upah sejam = 1/173 x upah sebulan</t>
        </is>
      </c>
    </row>
    <row r="28">
      <c r="A28" s="9" t="n">
        <v>20</v>
      </c>
      <c r="B28" s="23" t="inlineStr">
        <is>
          <t>Biaya teknisi per jam</t>
        </is>
      </c>
      <c r="C28" s="12">
        <f>umk*(1+beban_upah)/jam_bulan</f>
        <v/>
      </c>
      <c r="D28" s="23" t="inlineStr">
        <is>
          <t>Rp/jam</t>
        </is>
      </c>
      <c r="E28" s="23" t="inlineStr">
        <is>
          <t>Dihitung: UMK x (1 + beban) / 173. Teknisi pemeliharaan diasumsikan dibayar setara UMK Surabaya</t>
        </is>
      </c>
    </row>
    <row r="29">
      <c r="A29" s="7" t="inlineStr">
        <is>
          <t>D</t>
        </is>
      </c>
      <c r="B29" s="7" t="inlineStr">
        <is>
          <t>Ekonomi, utilitas &amp; lintasan</t>
        </is>
      </c>
      <c r="C29" s="8" t="n"/>
      <c r="D29" s="8" t="n"/>
      <c r="E29" s="8" t="n"/>
    </row>
    <row r="30">
      <c r="A30" s="9" t="n">
        <v>21</v>
      </c>
      <c r="B30" s="23" t="inlineStr">
        <is>
          <t>Eskalasi harga per tahun</t>
        </is>
      </c>
      <c r="C30" s="27" t="n">
        <v>0.035</v>
      </c>
      <c r="D30" s="23" t="inlineStr">
        <is>
          <t>per tahun</t>
        </is>
      </c>
      <c r="E30" s="23" t="inlineStr">
        <is>
          <t>Batas atas sasaran inflasi BI 2026-2027 (2,5% +/- 1%); inflasi Juni 2026 = 3,34% - https://ekonomi.republika.co.id/berita/t8fpk6423/bi-optimistis-inflasi-20262027-tetap-terkendali-dalam-target</t>
        </is>
      </c>
    </row>
    <row r="31">
      <c r="A31" s="9" t="n">
        <v>22</v>
      </c>
      <c r="B31" s="23" t="inlineStr">
        <is>
          <t>Kontingensi OPEX</t>
        </is>
      </c>
      <c r="C31" s="27" t="n">
        <v>0.1</v>
      </c>
      <c r="D31" s="23" t="inlineStr">
        <is>
          <t>dari subtotal OPEX</t>
        </is>
      </c>
      <c r="E31" s="23" t="inlineStr">
        <is>
          <t>Cadangan untuk kerusakan di luar perkiraan dan kenaikan harga komponen impor</t>
        </is>
      </c>
    </row>
    <row r="32">
      <c r="A32" s="9" t="n">
        <v>23</v>
      </c>
      <c r="B32" s="23" t="inlineStr">
        <is>
          <t>Tarif listrik industri I-3/TM</t>
        </is>
      </c>
      <c r="C32" s="29" t="n">
        <v>1114.74</v>
      </c>
      <c r="D32" s="23" t="inlineStr">
        <is>
          <t>Rp/kWh</t>
        </is>
      </c>
      <c r="E32" s="23" t="inlineStr">
        <is>
          <t>Tarif PLN nonsubsidi triwulan IV 2026 (tidak berubah dari triwulan III) - https://www.fortuneidn.com/news/tarif-listrik-per-1-oktober-2026-d7w02-00-lflgw-zwfyxs</t>
        </is>
      </c>
    </row>
    <row r="33">
      <c r="A33" s="9" t="n">
        <v>24</v>
      </c>
      <c r="B33" s="23" t="inlineStr">
        <is>
          <t>Tegangan nominal baterai 2S</t>
        </is>
      </c>
      <c r="C33" s="28" t="n">
        <v>7.4</v>
      </c>
      <c r="D33" s="23" t="inlineStr">
        <is>
          <t>V</t>
        </is>
      </c>
      <c r="E33" s="23" t="inlineStr">
        <is>
          <t>Spesifikasi robot (2x18650 seri)</t>
        </is>
      </c>
    </row>
    <row r="34">
      <c r="A34" s="9" t="n">
        <v>25</v>
      </c>
      <c r="B34" s="23" t="inlineStr">
        <is>
          <t>Kapasitas sel 18650</t>
        </is>
      </c>
      <c r="C34" s="28" t="n">
        <v>2.6</v>
      </c>
      <c r="D34" s="23" t="inlineStr">
        <is>
          <t>Ah</t>
        </is>
      </c>
      <c r="E34" s="23" t="inlineStr">
        <is>
          <t>Sel 2.600 mAh</t>
        </is>
      </c>
    </row>
    <row r="35">
      <c r="A35" s="9" t="n">
        <v>26</v>
      </c>
      <c r="B35" s="23" t="inlineStr">
        <is>
          <t>Efisiensi pengisian</t>
        </is>
      </c>
      <c r="C35" s="27" t="n">
        <v>0.85</v>
      </c>
      <c r="D35" s="23" t="inlineStr">
        <is>
          <t>-</t>
        </is>
      </c>
      <c r="E35" s="23" t="inlineStr">
        <is>
          <t>Estimasi charger boost 2S USB-C</t>
        </is>
      </c>
    </row>
    <row r="36">
      <c r="A36" s="9" t="n">
        <v>27</v>
      </c>
      <c r="B36" s="23" t="inlineStr">
        <is>
          <t>Energi listrik per pengisian</t>
        </is>
      </c>
      <c r="C36" s="30">
        <f>v_baterai*kap_baterai/efisiensi</f>
        <v/>
      </c>
      <c r="D36" s="23" t="inlineStr">
        <is>
          <t>Wh</t>
        </is>
      </c>
      <c r="E36" s="23" t="inlineStr">
        <is>
          <t>Dihitung: V x Ah / efisiensi</t>
        </is>
      </c>
    </row>
    <row r="37">
      <c r="A37" s="9" t="n">
        <v>28</v>
      </c>
      <c r="B37" s="23" t="inlineStr">
        <is>
          <t>Panjang garis lintasan di lantai produksi</t>
        </is>
      </c>
      <c r="C37" s="26" t="n">
        <v>60</v>
      </c>
      <c r="D37" s="23" t="inlineStr">
        <is>
          <t>m</t>
        </is>
      </c>
      <c r="E37" s="23" t="inlineStr">
        <is>
          <t>Skenario tata letak: rute antar 4 stasiun dengan persimpangan 90 derajat</t>
        </is>
      </c>
    </row>
    <row r="38">
      <c r="A38" s="9" t="n">
        <v>29</v>
      </c>
      <c r="B38" s="23" t="inlineStr">
        <is>
          <t>Bagian garis yang diganti per tahun</t>
        </is>
      </c>
      <c r="C38" s="27" t="n">
        <v>0.5</v>
      </c>
      <c r="D38" s="23" t="inlineStr">
        <is>
          <t>dari panjang</t>
        </is>
      </c>
      <c r="E38" s="23" t="inlineStr">
        <is>
          <t>Estimasi: pita aus karena lalu lintas troli dan pejalan kaki</t>
        </is>
      </c>
    </row>
    <row r="39">
      <c r="A39" s="9" t="n">
        <v>30</v>
      </c>
      <c r="B39" s="23" t="inlineStr">
        <is>
          <t>Pagu anggaran 5 tahun</t>
        </is>
      </c>
      <c r="C39" s="26" t="n">
        <v>100000000</v>
      </c>
      <c r="D39" s="23" t="inlineStr">
        <is>
          <t>Rp</t>
        </is>
      </c>
      <c r="E39" s="23" t="inlineStr">
        <is>
          <t>Ketentuan tugas: dana maksimal Rp 100.000.000</t>
        </is>
      </c>
    </row>
    <row r="40">
      <c r="A40" s="9" t="n">
        <v>31</v>
      </c>
      <c r="B40" s="23" t="inlineStr">
        <is>
          <t>Tahun anggaran pertama</t>
        </is>
      </c>
      <c r="C40" s="31" t="n">
        <v>2027</v>
      </c>
      <c r="D40" s="23" t="inlineStr">
        <is>
          <t>-</t>
        </is>
      </c>
      <c r="E40" s="23" t="inlineStr">
        <is>
          <t>Asumsi: sistem sudah beroperasi, anggaran pemeliharaan mulai tahun anggaran 2027</t>
        </is>
      </c>
    </row>
  </sheetData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2" customWidth="1" min="3" max="3"/>
    <col width="11" customWidth="1" min="4" max="4"/>
    <col width="12" customWidth="1" min="5" max="5"/>
    <col width="10" customWidth="1" min="6" max="6"/>
    <col width="11" customWidth="1" min="7" max="7"/>
    <col width="11" customWidth="1" min="8" max="8"/>
    <col width="9" customWidth="1" min="9" max="9"/>
    <col width="10" customWidth="1" min="10" max="10"/>
    <col width="34" customWidth="1" min="11" max="11"/>
  </cols>
  <sheetData>
    <row r="1">
      <c r="A1" s="1" t="inlineStr">
        <is>
          <t>Jadwal Pemeliharaan Preventif (per tahun)</t>
        </is>
      </c>
    </row>
    <row r="2">
      <c r="A2" s="3" t="inlineStr">
        <is>
          <t>Jam kerja teknisi dari tabel ini menjadi biaya tenaga kerja preventif di sheet OPEX.</t>
        </is>
      </c>
    </row>
    <row r="3">
      <c r="A3" s="3" t="inlineStr">
        <is>
          <t>Pemeriksaan awal shift dikerjakan operator (autonomous maintenance), jamnya dicatat tapi tidak dibiayakan di RAB ini.</t>
        </is>
      </c>
    </row>
    <row r="4"/>
    <row r="5" ht="30" customHeight="1">
      <c r="A5" s="4" t="inlineStr">
        <is>
          <t>No</t>
        </is>
      </c>
      <c r="B5" s="4" t="inlineStr">
        <is>
          <t>Kegiatan</t>
        </is>
      </c>
      <c r="C5" s="4" t="inlineStr">
        <is>
          <t>Rincian pekerjaan</t>
        </is>
      </c>
      <c r="D5" s="4" t="inlineStr">
        <is>
          <t>Pelaksana</t>
        </is>
      </c>
      <c r="E5" s="4" t="inlineStr">
        <is>
          <t>Frekuensi</t>
        </is>
      </c>
      <c r="F5" s="4" t="inlineStr">
        <is>
          <t>Kali per tahun</t>
        </is>
      </c>
      <c r="G5" s="4" t="inlineStr">
        <is>
          <t>Durasi per objek (menit)</t>
        </is>
      </c>
      <c r="H5" s="4" t="inlineStr">
        <is>
          <t>Dasar</t>
        </is>
      </c>
      <c r="I5" s="4" t="inlineStr">
        <is>
          <t>Jumlah objek</t>
        </is>
      </c>
      <c r="J5" s="4" t="inlineStr">
        <is>
          <t>Jam per tahun</t>
        </is>
      </c>
      <c r="K5" s="4" t="inlineStr">
        <is>
          <t>Alat utama</t>
        </is>
      </c>
    </row>
    <row r="6">
      <c r="A6" s="9" t="n">
        <v>1</v>
      </c>
      <c r="B6" s="23" t="inlineStr">
        <is>
          <t>Pemeriksaan awal shift</t>
        </is>
      </c>
      <c r="C6" s="23" t="inlineStr">
        <is>
          <t>Cek tegangan baterai di OLED, bersihkan sensor dengan kuas antistatis, cek roda &amp; ball caster, uji jalan 1 putaran</t>
        </is>
      </c>
      <c r="D6" s="10" t="inlineStr">
        <is>
          <t>Operator</t>
        </is>
      </c>
      <c r="E6" s="10" t="inlineStr">
        <is>
          <t>Harian</t>
        </is>
      </c>
      <c r="F6" s="11">
        <f>hari_tahun</f>
        <v/>
      </c>
      <c r="G6" s="32" t="n">
        <v>3</v>
      </c>
      <c r="H6" s="10" t="inlineStr">
        <is>
          <t>per robot</t>
        </is>
      </c>
      <c r="I6" s="11">
        <f>IF(H6="per robot",n_robot,1)</f>
        <v/>
      </c>
      <c r="J6" s="30">
        <f>F6*G6/60*I6</f>
        <v/>
      </c>
      <c r="K6" s="23" t="inlineStr">
        <is>
          <t>Kuas antistatis</t>
        </is>
      </c>
    </row>
    <row r="7">
      <c r="A7" s="9" t="n">
        <v>2</v>
      </c>
      <c r="B7" s="23" t="inlineStr">
        <is>
          <t>Pemeliharaan mingguan</t>
        </is>
      </c>
      <c r="C7" s="23" t="inlineStr">
        <is>
          <t>Bersihkan sensor IR dengan isopropyl alcohol, kencangkan baut &amp; roda, cek kabel/konektor, cek tegangan sel &amp; BMS, uji di lintasan kalibrasi</t>
        </is>
      </c>
      <c r="D7" s="10" t="inlineStr">
        <is>
          <t>Teknisi</t>
        </is>
      </c>
      <c r="E7" s="10" t="inlineStr">
        <is>
          <t>Mingguan</t>
        </is>
      </c>
      <c r="F7" s="32" t="n">
        <v>52</v>
      </c>
      <c r="G7" s="32" t="n">
        <v>10</v>
      </c>
      <c r="H7" s="10" t="inlineStr">
        <is>
          <t>per robot</t>
        </is>
      </c>
      <c r="I7" s="11">
        <f>IF(H7="per robot",n_robot,1)</f>
        <v/>
      </c>
      <c r="J7" s="30">
        <f>F7*G7/60*I7</f>
        <v/>
      </c>
      <c r="K7" s="23" t="inlineStr">
        <is>
          <t>Multimeter, set perkakas, lintasan uji</t>
        </is>
      </c>
    </row>
    <row r="8">
      <c r="A8" s="9" t="n">
        <v>3</v>
      </c>
      <c r="B8" s="23" t="inlineStr">
        <is>
          <t>Pemeliharaan bulanan</t>
        </is>
      </c>
      <c r="C8" s="23" t="inlineStr">
        <is>
          <t>Uji kapasitas &amp; tahanan dalam baterai, ukur RPM &amp; arus motor, cek sinyal encoder, unduh log kejadian &amp; cek versi firmware</t>
        </is>
      </c>
      <c r="D8" s="10" t="inlineStr">
        <is>
          <t>Teknisi</t>
        </is>
      </c>
      <c r="E8" s="10" t="inlineStr">
        <is>
          <t>Bulanan</t>
        </is>
      </c>
      <c r="F8" s="32" t="n">
        <v>12</v>
      </c>
      <c r="G8" s="32" t="n">
        <v>30</v>
      </c>
      <c r="H8" s="10" t="inlineStr">
        <is>
          <t>per robot</t>
        </is>
      </c>
      <c r="I8" s="11">
        <f>IF(H8="per robot",n_robot,1)</f>
        <v/>
      </c>
      <c r="J8" s="30">
        <f>F8*G8/60*I8</f>
        <v/>
      </c>
      <c r="K8" s="23" t="inlineStr">
        <is>
          <t>Battery analyzer, tachometer, osiloskop, laptop</t>
        </is>
      </c>
    </row>
    <row r="9">
      <c r="A9" s="9" t="n">
        <v>4</v>
      </c>
      <c r="B9" s="23" t="inlineStr">
        <is>
          <t>Overhaul tahunan</t>
        </is>
      </c>
      <c r="C9" s="23" t="inlineStr">
        <is>
          <t>Bongkar total, bersihkan, ganti komponen sesuai kondisi, kalibrasi ulang sensor &amp; PID, uji fungsi lengkap di lintasan 4x4</t>
        </is>
      </c>
      <c r="D9" s="10" t="inlineStr">
        <is>
          <t>Teknisi</t>
        </is>
      </c>
      <c r="E9" s="10" t="inlineStr">
        <is>
          <t>Tahunan</t>
        </is>
      </c>
      <c r="F9" s="32" t="n">
        <v>1</v>
      </c>
      <c r="G9" s="32" t="n">
        <v>120</v>
      </c>
      <c r="H9" s="10" t="inlineStr">
        <is>
          <t>per robot</t>
        </is>
      </c>
      <c r="I9" s="11">
        <f>IF(H9="per robot",n_robot,1)</f>
        <v/>
      </c>
      <c r="J9" s="30">
        <f>F9*G9/60*I9</f>
        <v/>
      </c>
      <c r="K9" s="23" t="inlineStr">
        <is>
          <t>Semua alat kerja</t>
        </is>
      </c>
    </row>
    <row r="10">
      <c r="A10" s="9" t="n">
        <v>5</v>
      </c>
      <c r="B10" s="23" t="inlineStr">
        <is>
          <t>Inspeksi garis lintasan</t>
        </is>
      </c>
      <c r="C10" s="23" t="inlineStr">
        <is>
          <t>Cek pita garis terkelupas/kotor, tambal, bersihkan area persimpangan</t>
        </is>
      </c>
      <c r="D10" s="10" t="inlineStr">
        <is>
          <t>Teknisi</t>
        </is>
      </c>
      <c r="E10" s="10" t="inlineStr">
        <is>
          <t>Mingguan</t>
        </is>
      </c>
      <c r="F10" s="32" t="n">
        <v>52</v>
      </c>
      <c r="G10" s="32" t="n">
        <v>15</v>
      </c>
      <c r="H10" s="10" t="inlineStr">
        <is>
          <t>per sistem</t>
        </is>
      </c>
      <c r="I10" s="11">
        <f>IF(H10="per robot",n_robot,1)</f>
        <v/>
      </c>
      <c r="J10" s="30">
        <f>F10*G10/60*I10</f>
        <v/>
      </c>
      <c r="K10" s="23" t="inlineStr">
        <is>
          <t>Pita garis, cutter</t>
        </is>
      </c>
    </row>
    <row r="11">
      <c r="A11" s="9" t="n">
        <v>6</v>
      </c>
      <c r="B11" s="23" t="inlineStr">
        <is>
          <t>Perawatan perangkat lunak</t>
        </is>
      </c>
      <c r="C11" s="23" t="inlineStr">
        <is>
          <t>Backup firmware &amp; parameter, pembaruan firmware, tinjau log kejadian &amp; data downtime</t>
        </is>
      </c>
      <c r="D11" s="10" t="inlineStr">
        <is>
          <t>Teknisi</t>
        </is>
      </c>
      <c r="E11" s="10" t="inlineStr">
        <is>
          <t>Bulanan</t>
        </is>
      </c>
      <c r="F11" s="32" t="n">
        <v>12</v>
      </c>
      <c r="G11" s="32" t="n">
        <v>60</v>
      </c>
      <c r="H11" s="10" t="inlineStr">
        <is>
          <t>per sistem</t>
        </is>
      </c>
      <c r="I11" s="11">
        <f>IF(H11="per robot",n_robot,1)</f>
        <v/>
      </c>
      <c r="J11" s="30">
        <f>F11*G11/60*I11</f>
        <v/>
      </c>
      <c r="K11" s="23" t="inlineStr">
        <is>
          <t>Laptop diagnostik</t>
        </is>
      </c>
    </row>
    <row r="12">
      <c r="A12" s="9" t="n">
        <v>7</v>
      </c>
      <c r="B12" s="23" t="inlineStr">
        <is>
          <t>Stasiun pengisian &amp; keselamatan</t>
        </is>
      </c>
      <c r="C12" s="23" t="inlineStr">
        <is>
          <t>Cek adaptor &amp; kabel pengisian, kotak penyimpanan baterai, tekanan APAR</t>
        </is>
      </c>
      <c r="D12" s="10" t="inlineStr">
        <is>
          <t>Teknisi</t>
        </is>
      </c>
      <c r="E12" s="10" t="inlineStr">
        <is>
          <t>Bulanan</t>
        </is>
      </c>
      <c r="F12" s="32" t="n">
        <v>12</v>
      </c>
      <c r="G12" s="32" t="n">
        <v>30</v>
      </c>
      <c r="H12" s="10" t="inlineStr">
        <is>
          <t>per sistem</t>
        </is>
      </c>
      <c r="I12" s="11">
        <f>IF(H12="per robot",n_robot,1)</f>
        <v/>
      </c>
      <c r="J12" s="30">
        <f>F12*G12/60*I12</f>
        <v/>
      </c>
      <c r="K12" s="23" t="inlineStr">
        <is>
          <t>Multimeter</t>
        </is>
      </c>
    </row>
    <row r="13"/>
    <row r="14">
      <c r="B14" s="14" t="inlineStr">
        <is>
          <t>Jam teknisi per tahun (dibiayakan)</t>
        </is>
      </c>
      <c r="J14" s="33">
        <f>SUMIF(D6:D12,"Teknisi",J6:J12)</f>
        <v/>
      </c>
    </row>
    <row r="15">
      <c r="B15" s="5" t="inlineStr">
        <is>
          <t>Jam operator per tahun (tidak dibiayakan)</t>
        </is>
      </c>
      <c r="J15" s="34">
        <f>SUMIF(D6:D12,"Operator",J6:J12)</f>
        <v/>
      </c>
    </row>
  </sheetData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12" customWidth="1" min="4" max="4"/>
    <col width="9" customWidth="1" min="5" max="5"/>
    <col width="1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3" customWidth="1" min="13" max="13"/>
    <col width="13" customWidth="1" min="14" max="14"/>
    <col width="22" customWidth="1" min="15" max="15"/>
  </cols>
  <sheetData>
    <row r="1">
      <c r="A1" s="1" t="inlineStr">
        <is>
          <t>Kebutuhan Suku Cadang per Tahun &amp; Stok Awal Kritis</t>
        </is>
      </c>
    </row>
    <row r="2">
      <c r="A2" s="3" t="inlineStr">
        <is>
          <t>Harga satuan = RAB PjBL revisi 3.4 (charter proyek). Kebutuhan dihitung dari jam jalan, siklus baterai, atau laju kerusakan di sheet Asumsi.</t>
        </is>
      </c>
    </row>
    <row r="3">
      <c r="A3" s="3" t="inlineStr">
        <is>
          <t>Stok awal kritis dibeli sekali di tahun 1 (masuk CAPEX); kebutuhan per tahun masuk OPEX.</t>
        </is>
      </c>
    </row>
    <row r="4"/>
    <row r="5" ht="30" customHeight="1">
      <c r="A5" s="4" t="inlineStr">
        <is>
          <t>No</t>
        </is>
      </c>
      <c r="B5" s="4" t="inlineStr">
        <is>
          <t>Komponen</t>
        </is>
      </c>
      <c r="C5" s="4" t="inlineStr">
        <is>
          <t>Satuan</t>
        </is>
      </c>
      <c r="D5" s="4" t="inlineStr">
        <is>
          <t>Harga satuan (Rp)</t>
        </is>
      </c>
      <c r="E5" s="4" t="inlineStr">
        <is>
          <t>Jumlah per robot</t>
        </is>
      </c>
      <c r="F5" s="4" t="inlineStr">
        <is>
          <t>Dasar penggantian</t>
        </is>
      </c>
      <c r="G5" s="4" t="inlineStr">
        <is>
          <t>Umur (jam / siklus)</t>
        </is>
      </c>
      <c r="H5" s="4" t="inlineStr">
        <is>
          <t>Laju kerusakan per tahun</t>
        </is>
      </c>
      <c r="I5" s="4" t="inlineStr">
        <is>
          <t>Kebutuhan per tahun</t>
        </is>
      </c>
      <c r="J5" s="4" t="inlineStr">
        <is>
          <t>Unit per penggantian</t>
        </is>
      </c>
      <c r="K5" s="4" t="inlineStr">
        <is>
          <t>Penggantian per tahun</t>
        </is>
      </c>
      <c r="L5" s="4" t="inlineStr">
        <is>
          <t>Stok awal kritis</t>
        </is>
      </c>
      <c r="M5" s="4" t="inlineStr">
        <is>
          <t>Biaya per tahun (Rp)</t>
        </is>
      </c>
      <c r="N5" s="4" t="inlineStr">
        <is>
          <t>Biaya stok awal (Rp)</t>
        </is>
      </c>
      <c r="O5" s="4" t="inlineStr">
        <is>
          <t>Sumber harga</t>
        </is>
      </c>
    </row>
    <row r="6">
      <c r="A6" s="9" t="n">
        <v>1</v>
      </c>
      <c r="B6" s="23" t="inlineStr">
        <is>
          <t>Baterai Li-ion 18650 (2.600 mAh)</t>
        </is>
      </c>
      <c r="C6" s="10" t="inlineStr">
        <is>
          <t>pcs</t>
        </is>
      </c>
      <c r="D6" s="32" t="n">
        <v>40000</v>
      </c>
      <c r="E6" s="32" t="n">
        <v>2</v>
      </c>
      <c r="F6" s="10" t="inlineStr">
        <is>
          <t>Siklus baterai</t>
        </is>
      </c>
      <c r="G6" s="11">
        <f>umur_baterai</f>
        <v/>
      </c>
      <c r="H6" s="13" t="n"/>
      <c r="I6" s="12">
        <f>IF(F6="Siklus baterai",ROUNDUP(n_cas/G6*E6,0),IF(F6="Aus (jam)",ROUNDUP(jam_jalan*E6/G6,0),IF(F6="Kerusakan acak",ROUNDUP(n_robot*E6*H6,0),E6)))</f>
        <v/>
      </c>
      <c r="J6" s="32" t="n">
        <v>2</v>
      </c>
      <c r="K6" s="12">
        <f>ROUNDUP(I6/J6,0)</f>
        <v/>
      </c>
      <c r="L6" s="32" t="n">
        <v>4</v>
      </c>
      <c r="M6" s="12">
        <f>I6*D6</f>
        <v/>
      </c>
      <c r="N6" s="12">
        <f>L6*D6</f>
        <v/>
      </c>
      <c r="O6" s="23" t="inlineStr">
        <is>
          <t>RAB PjBL rev 3.4</t>
        </is>
      </c>
    </row>
    <row r="7">
      <c r="A7" s="9" t="n">
        <v>2</v>
      </c>
      <c r="B7" s="23" t="inlineStr">
        <is>
          <t>Motor N20 6V 500 RPM + encoder</t>
        </is>
      </c>
      <c r="C7" s="10" t="inlineStr">
        <is>
          <t>pcs</t>
        </is>
      </c>
      <c r="D7" s="32" t="n">
        <v>55000</v>
      </c>
      <c r="E7" s="32" t="n">
        <v>2</v>
      </c>
      <c r="F7" s="10" t="inlineStr">
        <is>
          <t>Aus (jam)</t>
        </is>
      </c>
      <c r="G7" s="11">
        <f>umur_motor</f>
        <v/>
      </c>
      <c r="H7" s="13" t="n"/>
      <c r="I7" s="12">
        <f>IF(F7="Siklus baterai",ROUNDUP(n_cas/G7*E7,0),IF(F7="Aus (jam)",ROUNDUP(jam_jalan*E7/G7,0),IF(F7="Kerusakan acak",ROUNDUP(n_robot*E7*H7,0),E7)))</f>
        <v/>
      </c>
      <c r="J7" s="32" t="n">
        <v>1</v>
      </c>
      <c r="K7" s="12">
        <f>ROUNDUP(I7/J7,0)</f>
        <v/>
      </c>
      <c r="L7" s="32" t="n">
        <v>4</v>
      </c>
      <c r="M7" s="12">
        <f>I7*D7</f>
        <v/>
      </c>
      <c r="N7" s="12">
        <f>L7*D7</f>
        <v/>
      </c>
      <c r="O7" s="23" t="inlineStr">
        <is>
          <t>RAB PjBL rev 3.4</t>
        </is>
      </c>
    </row>
    <row r="8">
      <c r="A8" s="9" t="n">
        <v>3</v>
      </c>
      <c r="B8" s="23" t="inlineStr">
        <is>
          <t>Roda + ban silikon N20</t>
        </is>
      </c>
      <c r="C8" s="10" t="inlineStr">
        <is>
          <t>pasang</t>
        </is>
      </c>
      <c r="D8" s="32" t="n">
        <v>25000</v>
      </c>
      <c r="E8" s="32" t="n">
        <v>1</v>
      </c>
      <c r="F8" s="10" t="inlineStr">
        <is>
          <t>Aus (jam)</t>
        </is>
      </c>
      <c r="G8" s="11">
        <f>umur_ban</f>
        <v/>
      </c>
      <c r="H8" s="13" t="n"/>
      <c r="I8" s="12">
        <f>IF(F8="Siklus baterai",ROUNDUP(n_cas/G8*E8,0),IF(F8="Aus (jam)",ROUNDUP(jam_jalan*E8/G8,0),IF(F8="Kerusakan acak",ROUNDUP(n_robot*E8*H8,0),E8)))</f>
        <v/>
      </c>
      <c r="J8" s="32" t="n">
        <v>1</v>
      </c>
      <c r="K8" s="12">
        <f>ROUNDUP(I8/J8,0)</f>
        <v/>
      </c>
      <c r="L8" s="32" t="n">
        <v>2</v>
      </c>
      <c r="M8" s="12">
        <f>I8*D8</f>
        <v/>
      </c>
      <c r="N8" s="12">
        <f>L8*D8</f>
        <v/>
      </c>
      <c r="O8" s="23" t="inlineStr">
        <is>
          <t>RAB PjBL rev 3.4</t>
        </is>
      </c>
    </row>
    <row r="9">
      <c r="A9" s="9" t="n">
        <v>4</v>
      </c>
      <c r="B9" s="23" t="inlineStr">
        <is>
          <t>Ball caster mini</t>
        </is>
      </c>
      <c r="C9" s="10" t="inlineStr">
        <is>
          <t>pcs</t>
        </is>
      </c>
      <c r="D9" s="32" t="n">
        <v>10000</v>
      </c>
      <c r="E9" s="32" t="n">
        <v>1</v>
      </c>
      <c r="F9" s="10" t="inlineStr">
        <is>
          <t>Aus (jam)</t>
        </is>
      </c>
      <c r="G9" s="11">
        <f>umur_caster</f>
        <v/>
      </c>
      <c r="H9" s="13" t="n"/>
      <c r="I9" s="12">
        <f>IF(F9="Siklus baterai",ROUNDUP(n_cas/G9*E9,0),IF(F9="Aus (jam)",ROUNDUP(jam_jalan*E9/G9,0),IF(F9="Kerusakan acak",ROUNDUP(n_robot*E9*H9,0),E9)))</f>
        <v/>
      </c>
      <c r="J9" s="32" t="n">
        <v>1</v>
      </c>
      <c r="K9" s="12">
        <f>ROUNDUP(I9/J9,0)</f>
        <v/>
      </c>
      <c r="L9" s="32" t="n">
        <v>1</v>
      </c>
      <c r="M9" s="12">
        <f>I9*D9</f>
        <v/>
      </c>
      <c r="N9" s="12">
        <f>L9*D9</f>
        <v/>
      </c>
      <c r="O9" s="23" t="inlineStr">
        <is>
          <t>RAB PjBL rev 3.4</t>
        </is>
      </c>
    </row>
    <row r="10">
      <c r="A10" s="9" t="n">
        <v>5</v>
      </c>
      <c r="B10" s="23" t="inlineStr">
        <is>
          <t>Sensor IR ITR20001</t>
        </is>
      </c>
      <c r="C10" s="10" t="inlineStr">
        <is>
          <t>pcs</t>
        </is>
      </c>
      <c r="D10" s="32" t="n">
        <v>3000</v>
      </c>
      <c r="E10" s="32" t="n">
        <v>5</v>
      </c>
      <c r="F10" s="10" t="inlineStr">
        <is>
          <t>Kerusakan acak</t>
        </is>
      </c>
      <c r="G10" s="12" t="n"/>
      <c r="H10" s="25">
        <f>laju_sensor</f>
        <v/>
      </c>
      <c r="I10" s="12">
        <f>IF(F10="Siklus baterai",ROUNDUP(n_cas/G10*E10,0),IF(F10="Aus (jam)",ROUNDUP(jam_jalan*E10/G10,0),IF(F10="Kerusakan acak",ROUNDUP(n_robot*E10*H10,0),E10)))</f>
        <v/>
      </c>
      <c r="J10" s="32" t="n">
        <v>1</v>
      </c>
      <c r="K10" s="12">
        <f>ROUNDUP(I10/J10,0)</f>
        <v/>
      </c>
      <c r="L10" s="32" t="n">
        <v>5</v>
      </c>
      <c r="M10" s="12">
        <f>I10*D10</f>
        <v/>
      </c>
      <c r="N10" s="12">
        <f>L10*D10</f>
        <v/>
      </c>
      <c r="O10" s="23" t="inlineStr">
        <is>
          <t>RAB PjBL rev 3.4</t>
        </is>
      </c>
    </row>
    <row r="11">
      <c r="A11" s="9" t="n">
        <v>6</v>
      </c>
      <c r="B11" s="23" t="inlineStr">
        <is>
          <t>PCB sensor jangkar (fabrikasi)</t>
        </is>
      </c>
      <c r="C11" s="10" t="inlineStr">
        <is>
          <t>pcs</t>
        </is>
      </c>
      <c r="D11" s="32" t="n">
        <v>20000</v>
      </c>
      <c r="E11" s="32" t="n">
        <v>1</v>
      </c>
      <c r="F11" s="10" t="inlineStr">
        <is>
          <t>Kerusakan acak</t>
        </is>
      </c>
      <c r="G11" s="12" t="n"/>
      <c r="H11" s="35" t="n">
        <v>0.1</v>
      </c>
      <c r="I11" s="12">
        <f>IF(F11="Siklus baterai",ROUNDUP(n_cas/G11*E11,0),IF(F11="Aus (jam)",ROUNDUP(jam_jalan*E11/G11,0),IF(F11="Kerusakan acak",ROUNDUP(n_robot*E11*H11,0),E11)))</f>
        <v/>
      </c>
      <c r="J11" s="32" t="n">
        <v>1</v>
      </c>
      <c r="K11" s="12">
        <f>ROUNDUP(I11/J11,0)</f>
        <v/>
      </c>
      <c r="L11" s="32" t="n">
        <v>1</v>
      </c>
      <c r="M11" s="12">
        <f>I11*D11</f>
        <v/>
      </c>
      <c r="N11" s="12">
        <f>L11*D11</f>
        <v/>
      </c>
      <c r="O11" s="23" t="inlineStr">
        <is>
          <t>RAB PjBL rev 3.4 (paket PCB / 5 lembar)</t>
        </is>
      </c>
    </row>
    <row r="12">
      <c r="A12" s="9" t="n">
        <v>7</v>
      </c>
      <c r="B12" s="23" t="inlineStr">
        <is>
          <t>ESP32 DevKit 30 pin</t>
        </is>
      </c>
      <c r="C12" s="10" t="inlineStr">
        <is>
          <t>pcs</t>
        </is>
      </c>
      <c r="D12" s="32" t="n">
        <v>76000</v>
      </c>
      <c r="E12" s="32" t="n">
        <v>1</v>
      </c>
      <c r="F12" s="10" t="inlineStr">
        <is>
          <t>Kerusakan acak</t>
        </is>
      </c>
      <c r="G12" s="12" t="n"/>
      <c r="H12" s="25">
        <f>laju_modul</f>
        <v/>
      </c>
      <c r="I12" s="12">
        <f>IF(F12="Siklus baterai",ROUNDUP(n_cas/G12*E12,0),IF(F12="Aus (jam)",ROUNDUP(jam_jalan*E12/G12,0),IF(F12="Kerusakan acak",ROUNDUP(n_robot*E12*H12,0),E12)))</f>
        <v/>
      </c>
      <c r="J12" s="32" t="n">
        <v>1</v>
      </c>
      <c r="K12" s="12">
        <f>ROUNDUP(I12/J12,0)</f>
        <v/>
      </c>
      <c r="L12" s="32" t="n">
        <v>1</v>
      </c>
      <c r="M12" s="12">
        <f>I12*D12</f>
        <v/>
      </c>
      <c r="N12" s="12">
        <f>L12*D12</f>
        <v/>
      </c>
      <c r="O12" s="23" t="inlineStr">
        <is>
          <t>RAB PjBL rev 3.4</t>
        </is>
      </c>
    </row>
    <row r="13">
      <c r="A13" s="9" t="n">
        <v>8</v>
      </c>
      <c r="B13" s="23" t="inlineStr">
        <is>
          <t>Modul driver motor TB6612FNG</t>
        </is>
      </c>
      <c r="C13" s="10" t="inlineStr">
        <is>
          <t>pcs</t>
        </is>
      </c>
      <c r="D13" s="32" t="n">
        <v>25000</v>
      </c>
      <c r="E13" s="32" t="n">
        <v>1</v>
      </c>
      <c r="F13" s="10" t="inlineStr">
        <is>
          <t>Kerusakan acak</t>
        </is>
      </c>
      <c r="G13" s="12" t="n"/>
      <c r="H13" s="25">
        <f>laju_modul</f>
        <v/>
      </c>
      <c r="I13" s="12">
        <f>IF(F13="Siklus baterai",ROUNDUP(n_cas/G13*E13,0),IF(F13="Aus (jam)",ROUNDUP(jam_jalan*E13/G13,0),IF(F13="Kerusakan acak",ROUNDUP(n_robot*E13*H13,0),E13)))</f>
        <v/>
      </c>
      <c r="J13" s="32" t="n">
        <v>1</v>
      </c>
      <c r="K13" s="12">
        <f>ROUNDUP(I13/J13,0)</f>
        <v/>
      </c>
      <c r="L13" s="32" t="n">
        <v>1</v>
      </c>
      <c r="M13" s="12">
        <f>I13*D13</f>
        <v/>
      </c>
      <c r="N13" s="12">
        <f>L13*D13</f>
        <v/>
      </c>
      <c r="O13" s="23" t="inlineStr">
        <is>
          <t>RAB PjBL rev 3.4</t>
        </is>
      </c>
    </row>
    <row r="14">
      <c r="A14" s="9" t="n">
        <v>9</v>
      </c>
      <c r="B14" s="23" t="inlineStr">
        <is>
          <t>Modul buck MP1584 5 V</t>
        </is>
      </c>
      <c r="C14" s="10" t="inlineStr">
        <is>
          <t>pcs</t>
        </is>
      </c>
      <c r="D14" s="32" t="n">
        <v>10000</v>
      </c>
      <c r="E14" s="32" t="n">
        <v>1</v>
      </c>
      <c r="F14" s="10" t="inlineStr">
        <is>
          <t>Kerusakan acak</t>
        </is>
      </c>
      <c r="G14" s="12" t="n"/>
      <c r="H14" s="25">
        <f>laju_modul</f>
        <v/>
      </c>
      <c r="I14" s="12">
        <f>IF(F14="Siklus baterai",ROUNDUP(n_cas/G14*E14,0),IF(F14="Aus (jam)",ROUNDUP(jam_jalan*E14/G14,0),IF(F14="Kerusakan acak",ROUNDUP(n_robot*E14*H14,0),E14)))</f>
        <v/>
      </c>
      <c r="J14" s="32" t="n">
        <v>1</v>
      </c>
      <c r="K14" s="12">
        <f>ROUNDUP(I14/J14,0)</f>
        <v/>
      </c>
      <c r="L14" s="32" t="n">
        <v>1</v>
      </c>
      <c r="M14" s="12">
        <f>I14*D14</f>
        <v/>
      </c>
      <c r="N14" s="12">
        <f>L14*D14</f>
        <v/>
      </c>
      <c r="O14" s="23" t="inlineStr">
        <is>
          <t>RAB PjBL rev 3.4</t>
        </is>
      </c>
    </row>
    <row r="15">
      <c r="A15" s="9" t="n">
        <v>10</v>
      </c>
      <c r="B15" s="23" t="inlineStr">
        <is>
          <t>Modul BMS 2S</t>
        </is>
      </c>
      <c r="C15" s="10" t="inlineStr">
        <is>
          <t>pcs</t>
        </is>
      </c>
      <c r="D15" s="32" t="n">
        <v>10000</v>
      </c>
      <c r="E15" s="32" t="n">
        <v>1</v>
      </c>
      <c r="F15" s="10" t="inlineStr">
        <is>
          <t>Kerusakan acak</t>
        </is>
      </c>
      <c r="G15" s="12" t="n"/>
      <c r="H15" s="25">
        <f>laju_modul</f>
        <v/>
      </c>
      <c r="I15" s="12">
        <f>IF(F15="Siklus baterai",ROUNDUP(n_cas/G15*E15,0),IF(F15="Aus (jam)",ROUNDUP(jam_jalan*E15/G15,0),IF(F15="Kerusakan acak",ROUNDUP(n_robot*E15*H15,0),E15)))</f>
        <v/>
      </c>
      <c r="J15" s="32" t="n">
        <v>1</v>
      </c>
      <c r="K15" s="12">
        <f>ROUNDUP(I15/J15,0)</f>
        <v/>
      </c>
      <c r="L15" s="32" t="n">
        <v>1</v>
      </c>
      <c r="M15" s="12">
        <f>I15*D15</f>
        <v/>
      </c>
      <c r="N15" s="12">
        <f>L15*D15</f>
        <v/>
      </c>
      <c r="O15" s="23" t="inlineStr">
        <is>
          <t>RAB PjBL rev 3.4</t>
        </is>
      </c>
    </row>
    <row r="16">
      <c r="A16" s="9" t="n">
        <v>11</v>
      </c>
      <c r="B16" s="23" t="inlineStr">
        <is>
          <t>Modul charger 2S USB-C</t>
        </is>
      </c>
      <c r="C16" s="10" t="inlineStr">
        <is>
          <t>pcs</t>
        </is>
      </c>
      <c r="D16" s="32" t="n">
        <v>25000</v>
      </c>
      <c r="E16" s="32" t="n">
        <v>1</v>
      </c>
      <c r="F16" s="10" t="inlineStr">
        <is>
          <t>Kerusakan acak</t>
        </is>
      </c>
      <c r="G16" s="12" t="n"/>
      <c r="H16" s="35" t="n">
        <v>0.2</v>
      </c>
      <c r="I16" s="12">
        <f>IF(F16="Siklus baterai",ROUNDUP(n_cas/G16*E16,0),IF(F16="Aus (jam)",ROUNDUP(jam_jalan*E16/G16,0),IF(F16="Kerusakan acak",ROUNDUP(n_robot*E16*H16,0),E16)))</f>
        <v/>
      </c>
      <c r="J16" s="32" t="n">
        <v>1</v>
      </c>
      <c r="K16" s="12">
        <f>ROUNDUP(I16/J16,0)</f>
        <v/>
      </c>
      <c r="L16" s="32" t="n">
        <v>1</v>
      </c>
      <c r="M16" s="12">
        <f>I16*D16</f>
        <v/>
      </c>
      <c r="N16" s="12">
        <f>L16*D16</f>
        <v/>
      </c>
      <c r="O16" s="23" t="inlineStr">
        <is>
          <t>RAB PjBL rev 3.4 (port dicolok tiap hari: laju 20%)</t>
        </is>
      </c>
    </row>
    <row r="17">
      <c r="A17" s="9" t="n">
        <v>12</v>
      </c>
      <c r="B17" s="23" t="inlineStr">
        <is>
          <t>OLED 1,3 inci I2C</t>
        </is>
      </c>
      <c r="C17" s="10" t="inlineStr">
        <is>
          <t>pcs</t>
        </is>
      </c>
      <c r="D17" s="32" t="n">
        <v>52000</v>
      </c>
      <c r="E17" s="32" t="n">
        <v>1</v>
      </c>
      <c r="F17" s="10" t="inlineStr">
        <is>
          <t>Kerusakan acak</t>
        </is>
      </c>
      <c r="G17" s="12" t="n"/>
      <c r="H17" s="35" t="n">
        <v>0.05</v>
      </c>
      <c r="I17" s="12">
        <f>IF(F17="Siklus baterai",ROUNDUP(n_cas/G17*E17,0),IF(F17="Aus (jam)",ROUNDUP(jam_jalan*E17/G17,0),IF(F17="Kerusakan acak",ROUNDUP(n_robot*E17*H17,0),E17)))</f>
        <v/>
      </c>
      <c r="J17" s="32" t="n">
        <v>1</v>
      </c>
      <c r="K17" s="12">
        <f>ROUNDUP(I17/J17,0)</f>
        <v/>
      </c>
      <c r="L17" s="32" t="n">
        <v>1</v>
      </c>
      <c r="M17" s="12">
        <f>I17*D17</f>
        <v/>
      </c>
      <c r="N17" s="12">
        <f>L17*D17</f>
        <v/>
      </c>
      <c r="O17" s="23" t="inlineStr">
        <is>
          <t>RAB PjBL rev 3.4</t>
        </is>
      </c>
    </row>
    <row r="18">
      <c r="A18" s="9" t="n">
        <v>13</v>
      </c>
      <c r="B18" s="23" t="inlineStr">
        <is>
          <t>Holder baterai 2x18650</t>
        </is>
      </c>
      <c r="C18" s="10" t="inlineStr">
        <is>
          <t>pcs</t>
        </is>
      </c>
      <c r="D18" s="32" t="n">
        <v>8000</v>
      </c>
      <c r="E18" s="32" t="n">
        <v>1</v>
      </c>
      <c r="F18" s="10" t="inlineStr">
        <is>
          <t>Kerusakan acak</t>
        </is>
      </c>
      <c r="G18" s="12" t="n"/>
      <c r="H18" s="25">
        <f>laju_modul</f>
        <v/>
      </c>
      <c r="I18" s="12">
        <f>IF(F18="Siklus baterai",ROUNDUP(n_cas/G18*E18,0),IF(F18="Aus (jam)",ROUNDUP(jam_jalan*E18/G18,0),IF(F18="Kerusakan acak",ROUNDUP(n_robot*E18*H18,0),E18)))</f>
        <v/>
      </c>
      <c r="J18" s="32" t="n">
        <v>1</v>
      </c>
      <c r="K18" s="12">
        <f>ROUNDUP(I18/J18,0)</f>
        <v/>
      </c>
      <c r="L18" s="32" t="n">
        <v>1</v>
      </c>
      <c r="M18" s="12">
        <f>I18*D18</f>
        <v/>
      </c>
      <c r="N18" s="12">
        <f>L18*D18</f>
        <v/>
      </c>
      <c r="O18" s="23" t="inlineStr">
        <is>
          <t>RAB PjBL rev 3.4</t>
        </is>
      </c>
    </row>
    <row r="19">
      <c r="A19" s="9" t="n">
        <v>14</v>
      </c>
      <c r="B19" s="23" t="inlineStr">
        <is>
          <t>Saklar geser on/off</t>
        </is>
      </c>
      <c r="C19" s="10" t="inlineStr">
        <is>
          <t>pcs</t>
        </is>
      </c>
      <c r="D19" s="32" t="n">
        <v>3000</v>
      </c>
      <c r="E19" s="32" t="n">
        <v>1</v>
      </c>
      <c r="F19" s="10" t="inlineStr">
        <is>
          <t>Kerusakan acak</t>
        </is>
      </c>
      <c r="G19" s="12" t="n"/>
      <c r="H19" s="25">
        <f>laju_modul</f>
        <v/>
      </c>
      <c r="I19" s="12">
        <f>IF(F19="Siklus baterai",ROUNDUP(n_cas/G19*E19,0),IF(F19="Aus (jam)",ROUNDUP(jam_jalan*E19/G19,0),IF(F19="Kerusakan acak",ROUNDUP(n_robot*E19*H19,0),E19)))</f>
        <v/>
      </c>
      <c r="J19" s="32" t="n">
        <v>1</v>
      </c>
      <c r="K19" s="12">
        <f>ROUNDUP(I19/J19,0)</f>
        <v/>
      </c>
      <c r="L19" s="32" t="n">
        <v>2</v>
      </c>
      <c r="M19" s="12">
        <f>I19*D19</f>
        <v/>
      </c>
      <c r="N19" s="12">
        <f>L19*D19</f>
        <v/>
      </c>
      <c r="O19" s="23" t="inlineStr">
        <is>
          <t>RAB PjBL rev 3.4</t>
        </is>
      </c>
    </row>
    <row r="20">
      <c r="A20" s="9" t="n">
        <v>15</v>
      </c>
      <c r="B20" s="23" t="inlineStr">
        <is>
          <t>Tombol tekan</t>
        </is>
      </c>
      <c r="C20" s="10" t="inlineStr">
        <is>
          <t>pcs</t>
        </is>
      </c>
      <c r="D20" s="32" t="n">
        <v>1000</v>
      </c>
      <c r="E20" s="32" t="n">
        <v>2</v>
      </c>
      <c r="F20" s="10" t="inlineStr">
        <is>
          <t>Kerusakan acak</t>
        </is>
      </c>
      <c r="G20" s="12" t="n"/>
      <c r="H20" s="25">
        <f>laju_modul</f>
        <v/>
      </c>
      <c r="I20" s="12">
        <f>IF(F20="Siklus baterai",ROUNDUP(n_cas/G20*E20,0),IF(F20="Aus (jam)",ROUNDUP(jam_jalan*E20/G20,0),IF(F20="Kerusakan acak",ROUNDUP(n_robot*E20*H20,0),E20)))</f>
        <v/>
      </c>
      <c r="J20" s="32" t="n">
        <v>1</v>
      </c>
      <c r="K20" s="12">
        <f>ROUNDUP(I20/J20,0)</f>
        <v/>
      </c>
      <c r="L20" s="32" t="n">
        <v>2</v>
      </c>
      <c r="M20" s="12">
        <f>I20*D20</f>
        <v/>
      </c>
      <c r="N20" s="12">
        <f>L20*D20</f>
        <v/>
      </c>
      <c r="O20" s="23" t="inlineStr">
        <is>
          <t>RAB PjBL rev 3.4</t>
        </is>
      </c>
    </row>
    <row r="21">
      <c r="A21" s="9" t="n">
        <v>16</v>
      </c>
      <c r="B21" s="23" t="inlineStr">
        <is>
          <t>Buzzer</t>
        </is>
      </c>
      <c r="C21" s="10" t="inlineStr">
        <is>
          <t>pcs</t>
        </is>
      </c>
      <c r="D21" s="32" t="n">
        <v>3000</v>
      </c>
      <c r="E21" s="32" t="n">
        <v>1</v>
      </c>
      <c r="F21" s="10" t="inlineStr">
        <is>
          <t>Kerusakan acak</t>
        </is>
      </c>
      <c r="G21" s="12" t="n"/>
      <c r="H21" s="35" t="n">
        <v>0.05</v>
      </c>
      <c r="I21" s="12">
        <f>IF(F21="Siklus baterai",ROUNDUP(n_cas/G21*E21,0),IF(F21="Aus (jam)",ROUNDUP(jam_jalan*E21/G21,0),IF(F21="Kerusakan acak",ROUNDUP(n_robot*E21*H21,0),E21)))</f>
        <v/>
      </c>
      <c r="J21" s="32" t="n">
        <v>1</v>
      </c>
      <c r="K21" s="12">
        <f>ROUNDUP(I21/J21,0)</f>
        <v/>
      </c>
      <c r="L21" s="32" t="n">
        <v>1</v>
      </c>
      <c r="M21" s="12">
        <f>I21*D21</f>
        <v/>
      </c>
      <c r="N21" s="12">
        <f>L21*D21</f>
        <v/>
      </c>
      <c r="O21" s="23" t="inlineStr">
        <is>
          <t>RAB PjBL rev 3.4</t>
        </is>
      </c>
    </row>
    <row r="22">
      <c r="A22" s="9" t="n">
        <v>17</v>
      </c>
      <c r="B22" s="23" t="inlineStr">
        <is>
          <t>Konektor JST PH 6 pin + kabel motor</t>
        </is>
      </c>
      <c r="C22" s="10" t="inlineStr">
        <is>
          <t>set</t>
        </is>
      </c>
      <c r="D22" s="32" t="n">
        <v>5000</v>
      </c>
      <c r="E22" s="32" t="n">
        <v>2</v>
      </c>
      <c r="F22" s="10" t="inlineStr">
        <is>
          <t>Kerusakan acak</t>
        </is>
      </c>
      <c r="G22" s="12" t="n"/>
      <c r="H22" s="35" t="n">
        <v>0.2</v>
      </c>
      <c r="I22" s="12">
        <f>IF(F22="Siklus baterai",ROUNDUP(n_cas/G22*E22,0),IF(F22="Aus (jam)",ROUNDUP(jam_jalan*E22/G22,0),IF(F22="Kerusakan acak",ROUNDUP(n_robot*E22*H22,0),E22)))</f>
        <v/>
      </c>
      <c r="J22" s="32" t="n">
        <v>1</v>
      </c>
      <c r="K22" s="12">
        <f>ROUNDUP(I22/J22,0)</f>
        <v/>
      </c>
      <c r="L22" s="32" t="n">
        <v>4</v>
      </c>
      <c r="M22" s="12">
        <f>I22*D22</f>
        <v/>
      </c>
      <c r="N22" s="12">
        <f>L22*D22</f>
        <v/>
      </c>
      <c r="O22" s="23" t="inlineStr">
        <is>
          <t>RAB PjBL rev 3.4</t>
        </is>
      </c>
    </row>
    <row r="23">
      <c r="A23" s="9" t="n">
        <v>18</v>
      </c>
      <c r="B23" s="23" t="inlineStr">
        <is>
          <t>Paket komponen pasif (R, C, dioda SS14, header)</t>
        </is>
      </c>
      <c r="C23" s="10" t="inlineStr">
        <is>
          <t>paket</t>
        </is>
      </c>
      <c r="D23" s="32" t="n">
        <v>25000</v>
      </c>
      <c r="E23" s="32" t="n">
        <v>1</v>
      </c>
      <c r="F23" s="10" t="inlineStr">
        <is>
          <t>Tetap per tahun</t>
        </is>
      </c>
      <c r="G23" s="12" t="n"/>
      <c r="H23" s="13" t="n"/>
      <c r="I23" s="12">
        <f>IF(F23="Siklus baterai",ROUNDUP(n_cas/G23*E23,0),IF(F23="Aus (jam)",ROUNDUP(jam_jalan*E23/G23,0),IF(F23="Kerusakan acak",ROUNDUP(n_robot*E23*H23,0),E23)))</f>
        <v/>
      </c>
      <c r="J23" s="32" t="n">
        <v>1</v>
      </c>
      <c r="K23" s="12">
        <f>ROUNDUP(I23/J23,0)</f>
        <v/>
      </c>
      <c r="L23" s="32" t="n">
        <v>1</v>
      </c>
      <c r="M23" s="12">
        <f>I23*D23</f>
        <v/>
      </c>
      <c r="N23" s="12">
        <f>L23*D23</f>
        <v/>
      </c>
      <c r="O23" s="23" t="inlineStr">
        <is>
          <t>RAB PjBL rev 3.4</t>
        </is>
      </c>
    </row>
    <row r="24"/>
    <row r="25">
      <c r="B25" s="14" t="inlineStr">
        <is>
          <t>Total</t>
        </is>
      </c>
      <c r="K25" s="15">
        <f>SUM(K6:K23)</f>
        <v/>
      </c>
      <c r="M25" s="15">
        <f>SUM(M6:M23)</f>
        <v/>
      </c>
      <c r="N25" s="15">
        <f>SUM(N6:N23)</f>
        <v/>
      </c>
    </row>
    <row r="26">
      <c r="B26" s="5" t="inlineStr">
        <is>
          <t>Jam teknisi untuk penggantian komponen per tahun</t>
        </is>
      </c>
      <c r="K26" s="34">
        <f>K25*mttr</f>
        <v/>
      </c>
      <c r="L26" s="5" t="inlineStr">
        <is>
          <t>jam</t>
        </is>
      </c>
    </row>
  </sheetData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30" customWidth="1" min="4" max="4"/>
    <col width="46" customWidth="1" min="5" max="5"/>
    <col width="8" customWidth="1" min="6" max="6"/>
    <col width="8" customWidth="1" min="7" max="7"/>
    <col width="14" customWidth="1" min="8" max="8"/>
    <col width="14" customWidth="1" min="9" max="9"/>
    <col width="8" customWidth="1" min="10" max="10"/>
    <col width="22" customWidth="1" min="11" max="11"/>
  </cols>
  <sheetData>
    <row r="1">
      <c r="A1" s="1" t="inlineStr">
        <is>
          <t>CAPEX Pemeliharaan (pengadaan sekali, tahun 1)</t>
        </is>
      </c>
    </row>
    <row r="2">
      <c r="A2" s="3" t="inlineStr">
        <is>
          <t>Harga = estimasi harga pasar daring (marketplace) Oktober 2026 untuk barang setara; cek ulang saat pengadaan.</t>
        </is>
      </c>
    </row>
    <row r="3">
      <c r="A3" s="3" t="inlineStr">
        <is>
          <t>Total = jumlah x harga x (1 + eskalasi)^(tahun ke - 1), supaya pengadaan yang digeser ke tahun lain ikut naik harga.</t>
        </is>
      </c>
    </row>
    <row r="4"/>
    <row r="5" ht="30" customHeight="1">
      <c r="A5" s="4" t="inlineStr">
        <is>
          <t>No</t>
        </is>
      </c>
      <c r="B5" s="4" t="inlineStr">
        <is>
          <t>Kategori</t>
        </is>
      </c>
      <c r="C5" s="4" t="inlineStr">
        <is>
          <t>Uraian</t>
        </is>
      </c>
      <c r="D5" s="4" t="inlineStr">
        <is>
          <t>Spesifikasi (setara)</t>
        </is>
      </c>
      <c r="E5" s="4" t="inlineStr">
        <is>
          <t>Fungsi dalam pemeliharaan</t>
        </is>
      </c>
      <c r="F5" s="4" t="inlineStr">
        <is>
          <t>Satuan</t>
        </is>
      </c>
      <c r="G5" s="4" t="inlineStr">
        <is>
          <t>Jumlah</t>
        </is>
      </c>
      <c r="H5" s="4" t="inlineStr">
        <is>
          <t>Harga satuan (Rp)</t>
        </is>
      </c>
      <c r="I5" s="4" t="inlineStr">
        <is>
          <t>Total (Rp)</t>
        </is>
      </c>
      <c r="J5" s="4" t="inlineStr">
        <is>
          <t>Tahun ke-</t>
        </is>
      </c>
      <c r="K5" s="4" t="inlineStr">
        <is>
          <t>Sumber harga</t>
        </is>
      </c>
    </row>
    <row r="6">
      <c r="A6" s="9" t="n">
        <v>1</v>
      </c>
      <c r="B6" s="23" t="inlineStr">
        <is>
          <t>Peralatan kerja &amp; alat ukur</t>
        </is>
      </c>
      <c r="C6" s="23" t="inlineStr">
        <is>
          <t>Laptop diagnostik</t>
        </is>
      </c>
      <c r="D6" s="23" t="inlineStr">
        <is>
          <t>Core i3/Ryzen 3, RAM 8 GB, SSD 256 GB</t>
        </is>
      </c>
      <c r="E6" s="23" t="inlineStr">
        <is>
          <t>Unggah firmware ESP32, baca log serial, simpan data riwayat perawatan (CMMS sederhana)</t>
        </is>
      </c>
      <c r="F6" s="10" t="inlineStr">
        <is>
          <t>unit</t>
        </is>
      </c>
      <c r="G6" s="32" t="n">
        <v>1</v>
      </c>
      <c r="H6" s="32" t="n">
        <v>5500000</v>
      </c>
      <c r="I6" s="12">
        <f>G6*H6*(1+eskalasi)^(J6-1)</f>
        <v/>
      </c>
      <c r="J6" s="36" t="n">
        <v>1</v>
      </c>
      <c r="K6" s="23" t="inlineStr">
        <is>
          <t>Estimasi marketplace Okt 2026</t>
        </is>
      </c>
    </row>
    <row r="7">
      <c r="A7" s="9" t="n">
        <v>2</v>
      </c>
      <c r="B7" s="23" t="inlineStr">
        <is>
          <t>Peralatan kerja &amp; alat ukur</t>
        </is>
      </c>
      <c r="C7" s="23" t="inlineStr">
        <is>
          <t>Osiloskop digital 2 kanal</t>
        </is>
      </c>
      <c r="D7" s="23" t="inlineStr">
        <is>
          <t>100 MHz (setara Hantek DSO2C10)</t>
        </is>
      </c>
      <c r="E7" s="23" t="inlineStr">
        <is>
          <t>Cek sinyal PWM motor, pulsa encoder, dan keluaran sensor IR saat diagnosis</t>
        </is>
      </c>
      <c r="F7" s="10" t="inlineStr">
        <is>
          <t>unit</t>
        </is>
      </c>
      <c r="G7" s="32" t="n">
        <v>1</v>
      </c>
      <c r="H7" s="32" t="n">
        <v>2500000</v>
      </c>
      <c r="I7" s="12">
        <f>G7*H7*(1+eskalasi)^(J7-1)</f>
        <v/>
      </c>
      <c r="J7" s="36" t="n">
        <v>1</v>
      </c>
      <c r="K7" s="23" t="inlineStr">
        <is>
          <t>Estimasi marketplace Okt 2026</t>
        </is>
      </c>
    </row>
    <row r="8">
      <c r="A8" s="9" t="n">
        <v>3</v>
      </c>
      <c r="B8" s="23" t="inlineStr">
        <is>
          <t>Peralatan kerja &amp; alat ukur</t>
        </is>
      </c>
      <c r="C8" s="23" t="inlineStr">
        <is>
          <t>Multimeter digital acuan</t>
        </is>
      </c>
      <c r="D8" s="23" t="inlineStr">
        <is>
          <t>True RMS (setara UNI-T UT61E+)</t>
        </is>
      </c>
      <c r="E8" s="23" t="inlineStr">
        <is>
          <t>Ukur tegangan sel &amp; arus; jadi acuan verifikasi alat ukur lain (dikalibrasi tiap tahun)</t>
        </is>
      </c>
      <c r="F8" s="10" t="inlineStr">
        <is>
          <t>unit</t>
        </is>
      </c>
      <c r="G8" s="32" t="n">
        <v>1</v>
      </c>
      <c r="H8" s="32" t="n">
        <v>850000</v>
      </c>
      <c r="I8" s="12">
        <f>G8*H8*(1+eskalasi)^(J8-1)</f>
        <v/>
      </c>
      <c r="J8" s="36" t="n">
        <v>1</v>
      </c>
      <c r="K8" s="23" t="inlineStr">
        <is>
          <t>Estimasi marketplace Okt 2026</t>
        </is>
      </c>
    </row>
    <row r="9">
      <c r="A9" s="9" t="n">
        <v>4</v>
      </c>
      <c r="B9" s="23" t="inlineStr">
        <is>
          <t>Peralatan kerja &amp; alat ukur</t>
        </is>
      </c>
      <c r="C9" s="23" t="inlineStr">
        <is>
          <t>Multimeter digital lapangan</t>
        </is>
      </c>
      <c r="D9" s="23" t="inlineStr">
        <is>
          <t>Setara UNI-T UT33D+</t>
        </is>
      </c>
      <c r="E9" s="23" t="inlineStr">
        <is>
          <t>Pemeriksaan cepat saat PM mingguan</t>
        </is>
      </c>
      <c r="F9" s="10" t="inlineStr">
        <is>
          <t>unit</t>
        </is>
      </c>
      <c r="G9" s="32" t="n">
        <v>1</v>
      </c>
      <c r="H9" s="32" t="n">
        <v>250000</v>
      </c>
      <c r="I9" s="12">
        <f>G9*H9*(1+eskalasi)^(J9-1)</f>
        <v/>
      </c>
      <c r="J9" s="36" t="n">
        <v>1</v>
      </c>
      <c r="K9" s="23" t="inlineStr">
        <is>
          <t>Estimasi marketplace Okt 2026</t>
        </is>
      </c>
    </row>
    <row r="10">
      <c r="A10" s="9" t="n">
        <v>5</v>
      </c>
      <c r="B10" s="23" t="inlineStr">
        <is>
          <t>Peralatan kerja &amp; alat ukur</t>
        </is>
      </c>
      <c r="C10" s="23" t="inlineStr">
        <is>
          <t>Solder station suhu terkendali</t>
        </is>
      </c>
      <c r="D10" s="23" t="inlineStr">
        <is>
          <t>Setara Quicko T12</t>
        </is>
      </c>
      <c r="E10" s="23" t="inlineStr">
        <is>
          <t>Ganti konektor, header modul, kabel motor</t>
        </is>
      </c>
      <c r="F10" s="10" t="inlineStr">
        <is>
          <t>unit</t>
        </is>
      </c>
      <c r="G10" s="32" t="n">
        <v>1</v>
      </c>
      <c r="H10" s="32" t="n">
        <v>850000</v>
      </c>
      <c r="I10" s="12">
        <f>G10*H10*(1+eskalasi)^(J10-1)</f>
        <v/>
      </c>
      <c r="J10" s="36" t="n">
        <v>1</v>
      </c>
      <c r="K10" s="23" t="inlineStr">
        <is>
          <t>Estimasi marketplace Okt 2026</t>
        </is>
      </c>
    </row>
    <row r="11">
      <c r="A11" s="9" t="n">
        <v>6</v>
      </c>
      <c r="B11" s="23" t="inlineStr">
        <is>
          <t>Peralatan kerja &amp; alat ukur</t>
        </is>
      </c>
      <c r="C11" s="23" t="inlineStr">
        <is>
          <t>Hot air rework station</t>
        </is>
      </c>
      <c r="D11" s="23" t="inlineStr">
        <is>
          <t>Setara 858D</t>
        </is>
      </c>
      <c r="E11" s="23" t="inlineStr">
        <is>
          <t>Ganti sensor ITR20001 &amp; komponen SMD di PCB sensor</t>
        </is>
      </c>
      <c r="F11" s="10" t="inlineStr">
        <is>
          <t>unit</t>
        </is>
      </c>
      <c r="G11" s="32" t="n">
        <v>1</v>
      </c>
      <c r="H11" s="32" t="n">
        <v>750000</v>
      </c>
      <c r="I11" s="12">
        <f>G11*H11*(1+eskalasi)^(J11-1)</f>
        <v/>
      </c>
      <c r="J11" s="36" t="n">
        <v>1</v>
      </c>
      <c r="K11" s="23" t="inlineStr">
        <is>
          <t>Estimasi marketplace Okt 2026</t>
        </is>
      </c>
    </row>
    <row r="12">
      <c r="A12" s="9" t="n">
        <v>7</v>
      </c>
      <c r="B12" s="23" t="inlineStr">
        <is>
          <t>Peralatan kerja &amp; alat ukur</t>
        </is>
      </c>
      <c r="C12" s="23" t="inlineStr">
        <is>
          <t>Catu daya DC laboratorium</t>
        </is>
      </c>
      <c r="D12" s="23" t="inlineStr">
        <is>
          <t>30 V / 5 A</t>
        </is>
      </c>
      <c r="E12" s="23" t="inlineStr">
        <is>
          <t>Uji modul &amp; motor di meja tanpa baterai</t>
        </is>
      </c>
      <c r="F12" s="10" t="inlineStr">
        <is>
          <t>unit</t>
        </is>
      </c>
      <c r="G12" s="32" t="n">
        <v>1</v>
      </c>
      <c r="H12" s="32" t="n">
        <v>900000</v>
      </c>
      <c r="I12" s="12">
        <f>G12*H12*(1+eskalasi)^(J12-1)</f>
        <v/>
      </c>
      <c r="J12" s="36" t="n">
        <v>1</v>
      </c>
      <c r="K12" s="23" t="inlineStr">
        <is>
          <t>Estimasi marketplace Okt 2026</t>
        </is>
      </c>
    </row>
    <row r="13">
      <c r="A13" s="9" t="n">
        <v>8</v>
      </c>
      <c r="B13" s="23" t="inlineStr">
        <is>
          <t>Peralatan kerja &amp; alat ukur</t>
        </is>
      </c>
      <c r="C13" s="23" t="inlineStr">
        <is>
          <t>Penganalisis &amp; pengisi baterai 18650</t>
        </is>
      </c>
      <c r="D13" s="23" t="inlineStr">
        <is>
          <t>Setara LiitoKala Lii-500 (ukur kapasitas &amp; IR)</t>
        </is>
      </c>
      <c r="E13" s="23" t="inlineStr">
        <is>
          <t>Uji kapasitas dan tahanan dalam sel saat PM bulanan, menentukan sel yang diganti</t>
        </is>
      </c>
      <c r="F13" s="10" t="inlineStr">
        <is>
          <t>unit</t>
        </is>
      </c>
      <c r="G13" s="32" t="n">
        <v>1</v>
      </c>
      <c r="H13" s="32" t="n">
        <v>450000</v>
      </c>
      <c r="I13" s="12">
        <f>G13*H13*(1+eskalasi)^(J13-1)</f>
        <v/>
      </c>
      <c r="J13" s="36" t="n">
        <v>1</v>
      </c>
      <c r="K13" s="23" t="inlineStr">
        <is>
          <t>Estimasi marketplace Okt 2026</t>
        </is>
      </c>
    </row>
    <row r="14">
      <c r="A14" s="9" t="n">
        <v>9</v>
      </c>
      <c r="B14" s="23" t="inlineStr">
        <is>
          <t>Peralatan kerja &amp; alat ukur</t>
        </is>
      </c>
      <c r="C14" s="23" t="inlineStr">
        <is>
          <t>Tachometer optik digital</t>
        </is>
      </c>
      <c r="D14" s="23" t="inlineStr">
        <is>
          <t>Non-kontak</t>
        </is>
      </c>
      <c r="E14" s="23" t="inlineStr">
        <is>
          <t>Ukur RPM roda untuk mendeteksi motor yang mulai aus</t>
        </is>
      </c>
      <c r="F14" s="10" t="inlineStr">
        <is>
          <t>unit</t>
        </is>
      </c>
      <c r="G14" s="32" t="n">
        <v>1</v>
      </c>
      <c r="H14" s="32" t="n">
        <v>250000</v>
      </c>
      <c r="I14" s="12">
        <f>G14*H14*(1+eskalasi)^(J14-1)</f>
        <v/>
      </c>
      <c r="J14" s="36" t="n">
        <v>1</v>
      </c>
      <c r="K14" s="23" t="inlineStr">
        <is>
          <t>Estimasi marketplace Okt 2026</t>
        </is>
      </c>
    </row>
    <row r="15">
      <c r="A15" s="9" t="n">
        <v>10</v>
      </c>
      <c r="B15" s="23" t="inlineStr">
        <is>
          <t>Peralatan kerja &amp; alat ukur</t>
        </is>
      </c>
      <c r="C15" s="23" t="inlineStr">
        <is>
          <t>Jangka sorong digital</t>
        </is>
      </c>
      <c r="D15" s="23" t="inlineStr">
        <is>
          <t>150 mm</t>
        </is>
      </c>
      <c r="E15" s="23" t="inlineStr">
        <is>
          <t>Ukur keausan ban &amp; dimensi suku cadang</t>
        </is>
      </c>
      <c r="F15" s="10" t="inlineStr">
        <is>
          <t>unit</t>
        </is>
      </c>
      <c r="G15" s="32" t="n">
        <v>1</v>
      </c>
      <c r="H15" s="32" t="n">
        <v>200000</v>
      </c>
      <c r="I15" s="12">
        <f>G15*H15*(1+eskalasi)^(J15-1)</f>
        <v/>
      </c>
      <c r="J15" s="36" t="n">
        <v>1</v>
      </c>
      <c r="K15" s="23" t="inlineStr">
        <is>
          <t>Estimasi marketplace Okt 2026</t>
        </is>
      </c>
    </row>
    <row r="16">
      <c r="A16" s="9" t="n">
        <v>11</v>
      </c>
      <c r="B16" s="23" t="inlineStr">
        <is>
          <t>Peralatan kerja &amp; alat ukur</t>
        </is>
      </c>
      <c r="C16" s="23" t="inlineStr">
        <is>
          <t>Set perkakas elektronik</t>
        </is>
      </c>
      <c r="D16" s="23" t="inlineStr">
        <is>
          <t>Obeng presisi, tang, pinset, crimper JST, penyedot timah</t>
        </is>
      </c>
      <c r="E16" s="23" t="inlineStr">
        <is>
          <t>Bongkar pasang robot &amp; pembuatan kabel</t>
        </is>
      </c>
      <c r="F16" s="10" t="inlineStr">
        <is>
          <t>set</t>
        </is>
      </c>
      <c r="G16" s="32" t="n">
        <v>1</v>
      </c>
      <c r="H16" s="32" t="n">
        <v>750000</v>
      </c>
      <c r="I16" s="12">
        <f>G16*H16*(1+eskalasi)^(J16-1)</f>
        <v/>
      </c>
      <c r="J16" s="36" t="n">
        <v>1</v>
      </c>
      <c r="K16" s="23" t="inlineStr">
        <is>
          <t>Estimasi marketplace Okt 2026</t>
        </is>
      </c>
    </row>
    <row r="17">
      <c r="A17" s="9" t="n">
        <v>12</v>
      </c>
      <c r="B17" s="23" t="inlineStr">
        <is>
          <t>Peralatan kerja &amp; alat ukur</t>
        </is>
      </c>
      <c r="C17" s="23" t="inlineStr">
        <is>
          <t>Matras ESD + gelang antistatis + kaca pembesar berlampu</t>
        </is>
      </c>
      <c r="D17" s="23" t="inlineStr">
        <is>
          <t>-</t>
        </is>
      </c>
      <c r="E17" s="23" t="inlineStr">
        <is>
          <t>Mencegah kerusakan modul karena listrik statis saat perbaikan</t>
        </is>
      </c>
      <c r="F17" s="10" t="inlineStr">
        <is>
          <t>set</t>
        </is>
      </c>
      <c r="G17" s="32" t="n">
        <v>1</v>
      </c>
      <c r="H17" s="32" t="n">
        <v>600000</v>
      </c>
      <c r="I17" s="12">
        <f>G17*H17*(1+eskalasi)^(J17-1)</f>
        <v/>
      </c>
      <c r="J17" s="36" t="n">
        <v>1</v>
      </c>
      <c r="K17" s="23" t="inlineStr">
        <is>
          <t>Estimasi marketplace Okt 2026</t>
        </is>
      </c>
    </row>
    <row r="18">
      <c r="A18" s="9" t="n">
        <v>13</v>
      </c>
      <c r="B18" s="23" t="inlineStr">
        <is>
          <t>Peralatan kerja &amp; alat ukur</t>
        </is>
      </c>
      <c r="C18" s="23" t="inlineStr">
        <is>
          <t>Kabel USB-C data + USB hub</t>
        </is>
      </c>
      <c r="D18" s="23" t="inlineStr">
        <is>
          <t>-</t>
        </is>
      </c>
      <c r="E18" s="23" t="inlineStr">
        <is>
          <t>Koneksi laptop ke robot</t>
        </is>
      </c>
      <c r="F18" s="10" t="inlineStr">
        <is>
          <t>set</t>
        </is>
      </c>
      <c r="G18" s="32" t="n">
        <v>1</v>
      </c>
      <c r="H18" s="32" t="n">
        <v>250000</v>
      </c>
      <c r="I18" s="12">
        <f>G18*H18*(1+eskalasi)^(J18-1)</f>
        <v/>
      </c>
      <c r="J18" s="36" t="n">
        <v>1</v>
      </c>
      <c r="K18" s="23" t="inlineStr">
        <is>
          <t>Estimasi marketplace Okt 2026</t>
        </is>
      </c>
    </row>
    <row r="19">
      <c r="A19" s="9" t="n">
        <v>14</v>
      </c>
      <c r="B19" s="23" t="inlineStr">
        <is>
          <t>Infrastruktur perawatan</t>
        </is>
      </c>
      <c r="C19" s="23" t="inlineStr">
        <is>
          <t>Lemari suku cadang + kotak sortir berlabel</t>
        </is>
      </c>
      <c r="D19" s="23" t="inlineStr">
        <is>
          <t>-</t>
        </is>
      </c>
      <c r="E19" s="23" t="inlineStr">
        <is>
          <t>Penyimpanan stok suku cadang dengan sistem label (FIFO)</t>
        </is>
      </c>
      <c r="F19" s="10" t="inlineStr">
        <is>
          <t>unit</t>
        </is>
      </c>
      <c r="G19" s="32" t="n">
        <v>1</v>
      </c>
      <c r="H19" s="32" t="n">
        <v>1200000</v>
      </c>
      <c r="I19" s="12">
        <f>G19*H19*(1+eskalasi)^(J19-1)</f>
        <v/>
      </c>
      <c r="J19" s="36" t="n">
        <v>1</v>
      </c>
      <c r="K19" s="23" t="inlineStr">
        <is>
          <t>Estimasi marketplace Okt 2026</t>
        </is>
      </c>
    </row>
    <row r="20">
      <c r="A20" s="9" t="n">
        <v>15</v>
      </c>
      <c r="B20" s="23" t="inlineStr">
        <is>
          <t>Infrastruktur perawatan</t>
        </is>
      </c>
      <c r="C20" s="23" t="inlineStr">
        <is>
          <t>Stasiun pengisian baterai</t>
        </is>
      </c>
      <c r="D20" s="23" t="inlineStr">
        <is>
          <t>Rak + 5 adaptor USB-C 5 V/3 A + terminal</t>
        </is>
      </c>
      <c r="E20" s="23" t="inlineStr">
        <is>
          <t>Tempat pengisian 5 robot yang tertib dan aman</t>
        </is>
      </c>
      <c r="F20" s="10" t="inlineStr">
        <is>
          <t>set</t>
        </is>
      </c>
      <c r="G20" s="32" t="n">
        <v>1</v>
      </c>
      <c r="H20" s="32" t="n">
        <v>600000</v>
      </c>
      <c r="I20" s="12">
        <f>G20*H20*(1+eskalasi)^(J20-1)</f>
        <v/>
      </c>
      <c r="J20" s="36" t="n">
        <v>1</v>
      </c>
      <c r="K20" s="23" t="inlineStr">
        <is>
          <t>Estimasi marketplace Okt 2026</t>
        </is>
      </c>
    </row>
    <row r="21">
      <c r="A21" s="9" t="n">
        <v>16</v>
      </c>
      <c r="B21" s="23" t="inlineStr">
        <is>
          <t>Infrastruktur perawatan</t>
        </is>
      </c>
      <c r="C21" s="23" t="inlineStr">
        <is>
          <t>APAR serbuk ABC 3 kg</t>
        </is>
      </c>
      <c r="D21" s="23" t="inlineStr">
        <is>
          <t>-</t>
        </is>
      </c>
      <c r="E21" s="23" t="inlineStr">
        <is>
          <t>Keselamatan kebakaran di area pengisian baterai Li-ion</t>
        </is>
      </c>
      <c r="F21" s="10" t="inlineStr">
        <is>
          <t>unit</t>
        </is>
      </c>
      <c r="G21" s="32" t="n">
        <v>1</v>
      </c>
      <c r="H21" s="32" t="n">
        <v>450000</v>
      </c>
      <c r="I21" s="12">
        <f>G21*H21*(1+eskalasi)^(J21-1)</f>
        <v/>
      </c>
      <c r="J21" s="36" t="n">
        <v>1</v>
      </c>
      <c r="K21" s="23" t="inlineStr">
        <is>
          <t>Estimasi marketplace Okt 2026</t>
        </is>
      </c>
    </row>
    <row r="22">
      <c r="A22" s="9" t="n">
        <v>17</v>
      </c>
      <c r="B22" s="23" t="inlineStr">
        <is>
          <t>Infrastruktur perawatan</t>
        </is>
      </c>
      <c r="C22" s="23" t="inlineStr">
        <is>
          <t>Kantong/kotak baterai tahan api</t>
        </is>
      </c>
      <c r="D22" s="23" t="inlineStr">
        <is>
          <t>-</t>
        </is>
      </c>
      <c r="E22" s="23" t="inlineStr">
        <is>
          <t>Penyimpanan baterai cadangan &amp; baterai rusak sebelum dibuang</t>
        </is>
      </c>
      <c r="F22" s="10" t="inlineStr">
        <is>
          <t>unit</t>
        </is>
      </c>
      <c r="G22" s="32" t="n">
        <v>2</v>
      </c>
      <c r="H22" s="32" t="n">
        <v>150000</v>
      </c>
      <c r="I22" s="12">
        <f>G22*H22*(1+eskalasi)^(J22-1)</f>
        <v/>
      </c>
      <c r="J22" s="36" t="n">
        <v>1</v>
      </c>
      <c r="K22" s="23" t="inlineStr">
        <is>
          <t>Estimasi marketplace Okt 2026</t>
        </is>
      </c>
    </row>
    <row r="23">
      <c r="A23" s="9" t="n">
        <v>18</v>
      </c>
      <c r="B23" s="23" t="inlineStr">
        <is>
          <t>Infrastruktur perawatan</t>
        </is>
      </c>
      <c r="C23" s="23" t="inlineStr">
        <is>
          <t>Lintasan uji &amp; kalibrasi 4x4</t>
        </is>
      </c>
      <c r="D23" s="23" t="inlineStr">
        <is>
          <t>Papan + pita garis 19 mm, sama dengan lintasan PjBL</t>
        </is>
      </c>
      <c r="E23" s="23" t="inlineStr">
        <is>
          <t>Uji fungsi &amp; kalibrasi sensor setelah perbaikan, sebelum robot kembali ke lini</t>
        </is>
      </c>
      <c r="F23" s="10" t="inlineStr">
        <is>
          <t>set</t>
        </is>
      </c>
      <c r="G23" s="32" t="n">
        <v>1</v>
      </c>
      <c r="H23" s="32" t="n">
        <v>600000</v>
      </c>
      <c r="I23" s="12">
        <f>G23*H23*(1+eskalasi)^(J23-1)</f>
        <v/>
      </c>
      <c r="J23" s="36" t="n">
        <v>1</v>
      </c>
      <c r="K23" s="23" t="inlineStr">
        <is>
          <t>Estimasi marketplace Okt 2026</t>
        </is>
      </c>
    </row>
    <row r="24">
      <c r="A24" s="9" t="n">
        <v>19</v>
      </c>
      <c r="B24" s="23" t="inlineStr">
        <is>
          <t>Infrastruktur perawatan</t>
        </is>
      </c>
      <c r="C24" s="23" t="inlineStr">
        <is>
          <t>Jig uji sensor &amp; encoder</t>
        </is>
      </c>
      <c r="D24" s="23" t="inlineStr">
        <is>
          <t>Rangka + PCB uji sederhana</t>
        </is>
      </c>
      <c r="E24" s="23" t="inlineStr">
        <is>
          <t>Uji PCB sensor &amp; motor tanpa membongkar seluruh robot</t>
        </is>
      </c>
      <c r="F24" s="10" t="inlineStr">
        <is>
          <t>set</t>
        </is>
      </c>
      <c r="G24" s="32" t="n">
        <v>1</v>
      </c>
      <c r="H24" s="32" t="n">
        <v>400000</v>
      </c>
      <c r="I24" s="12">
        <f>G24*H24*(1+eskalasi)^(J24-1)</f>
        <v/>
      </c>
      <c r="J24" s="36" t="n">
        <v>1</v>
      </c>
      <c r="K24" s="23" t="inlineStr">
        <is>
          <t>Estimasi marketplace Okt 2026</t>
        </is>
      </c>
    </row>
    <row r="25">
      <c r="A25" s="9" t="n">
        <v>20</v>
      </c>
      <c r="B25" s="23" t="inlineStr">
        <is>
          <t>Stok awal suku cadang kritis</t>
        </is>
      </c>
      <c r="C25" s="23" t="inlineStr">
        <is>
          <t>Stok awal suku cadang kritis</t>
        </is>
      </c>
      <c r="D25" s="23" t="inlineStr">
        <is>
          <t>Rincian di sheet Suku Cadang</t>
        </is>
      </c>
      <c r="E25" s="23" t="inlineStr">
        <is>
          <t>Mengurangi downtime: robot langsung diperbaiki tanpa menunggu pengiriman</t>
        </is>
      </c>
      <c r="F25" s="10" t="inlineStr">
        <is>
          <t>paket</t>
        </is>
      </c>
      <c r="G25" s="32" t="n">
        <v>1</v>
      </c>
      <c r="H25" s="11">
        <f>biaya_stok_awal</f>
        <v/>
      </c>
      <c r="I25" s="12">
        <f>G25*H25*(1+eskalasi)^(J25-1)</f>
        <v/>
      </c>
      <c r="J25" s="36" t="n">
        <v>1</v>
      </c>
      <c r="K25" s="23" t="inlineStr">
        <is>
          <t>Sheet Suku Cadang</t>
        </is>
      </c>
    </row>
    <row r="26">
      <c r="A26" s="9" t="n">
        <v>21</v>
      </c>
      <c r="B26" s="23" t="inlineStr">
        <is>
          <t>Pelatihan &amp; dokumentasi awal</t>
        </is>
      </c>
      <c r="C26" s="23" t="inlineStr">
        <is>
          <t>Pelatihan awal teknisi &amp; operator</t>
        </is>
      </c>
      <c r="D26" s="23" t="inlineStr">
        <is>
          <t>2 hari, oleh tim perancang</t>
        </is>
      </c>
      <c r="E26" s="23" t="inlineStr">
        <is>
          <t>Teknisi paham perawatan, keselamatan baterai Li-ion, unggah firmware; operator paham pemeriksaan awal shift</t>
        </is>
      </c>
      <c r="F26" s="10" t="inlineStr">
        <is>
          <t>paket</t>
        </is>
      </c>
      <c r="G26" s="32" t="n">
        <v>1</v>
      </c>
      <c r="H26" s="32" t="n">
        <v>1500000</v>
      </c>
      <c r="I26" s="12">
        <f>G26*H26*(1+eskalasi)^(J26-1)</f>
        <v/>
      </c>
      <c r="J26" s="36" t="n">
        <v>1</v>
      </c>
      <c r="K26" s="23" t="inlineStr">
        <is>
          <t>Estimasi kelompok</t>
        </is>
      </c>
    </row>
    <row r="27">
      <c r="A27" s="9" t="n">
        <v>22</v>
      </c>
      <c r="B27" s="23" t="inlineStr">
        <is>
          <t>Pelatihan &amp; dokumentasi awal</t>
        </is>
      </c>
      <c r="C27" s="23" t="inlineStr">
        <is>
          <t>Printer label aset / kode QR</t>
        </is>
      </c>
      <c r="D27" s="23" t="inlineStr">
        <is>
          <t>Setara Brother PT-E110</t>
        </is>
      </c>
      <c r="E27" s="23" t="inlineStr">
        <is>
          <t>Label aset tiap robot &amp; suku cadang, terhubung ke kartu riwayat perawatan</t>
        </is>
      </c>
      <c r="F27" s="10" t="inlineStr">
        <is>
          <t>unit</t>
        </is>
      </c>
      <c r="G27" s="32" t="n">
        <v>1</v>
      </c>
      <c r="H27" s="32" t="n">
        <v>500000</v>
      </c>
      <c r="I27" s="12">
        <f>G27*H27*(1+eskalasi)^(J27-1)</f>
        <v/>
      </c>
      <c r="J27" s="36" t="n">
        <v>1</v>
      </c>
      <c r="K27" s="23" t="inlineStr">
        <is>
          <t>Estimasi marketplace Okt 2026</t>
        </is>
      </c>
    </row>
    <row r="28">
      <c r="A28" s="9" t="n">
        <v>23</v>
      </c>
      <c r="B28" s="23" t="inlineStr">
        <is>
          <t>Pelatihan &amp; dokumentasi awal</t>
        </is>
      </c>
      <c r="C28" s="23" t="inlineStr">
        <is>
          <t>Cetak SOP, checklist PM &amp; kartu riwayat</t>
        </is>
      </c>
      <c r="D28" s="23" t="inlineStr">
        <is>
          <t>Laminasi</t>
        </is>
      </c>
      <c r="E28" s="23" t="inlineStr">
        <is>
          <t>Dokumen kerja di stasiun perawatan</t>
        </is>
      </c>
      <c r="F28" s="10" t="inlineStr">
        <is>
          <t>paket</t>
        </is>
      </c>
      <c r="G28" s="32" t="n">
        <v>1</v>
      </c>
      <c r="H28" s="32" t="n">
        <v>150000</v>
      </c>
      <c r="I28" s="12">
        <f>G28*H28*(1+eskalasi)^(J28-1)</f>
        <v/>
      </c>
      <c r="J28" s="36" t="n">
        <v>1</v>
      </c>
      <c r="K28" s="23" t="inlineStr">
        <is>
          <t>Estimasi kelompok</t>
        </is>
      </c>
    </row>
    <row r="29"/>
    <row r="30">
      <c r="C30" s="14" t="inlineStr">
        <is>
          <t>Total CAPEX</t>
        </is>
      </c>
      <c r="I30" s="15">
        <f>SUM(I6:I28)</f>
        <v/>
      </c>
    </row>
  </sheetData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40" customWidth="1" min="4" max="4"/>
    <col width="9" customWidth="1" min="5" max="5"/>
    <col width="10" customWidth="1" min="6" max="6"/>
    <col width="13" customWidth="1" min="7" max="7"/>
    <col width="9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>
      <c r="A1" s="1" t="inlineStr">
        <is>
          <t>OPEX Pemeliharaan per Tahun (harga naik sesuai eskalasi)</t>
        </is>
      </c>
    </row>
    <row r="2">
      <c r="A2" s="3" t="inlineStr">
        <is>
          <t>Biaya tahun t = volume x harga tahun 1 x (1 + eskalasi)^(t - 1), hanya pada tahun kelipatan interval.</t>
        </is>
      </c>
    </row>
    <row r="3">
      <c r="A3" s="3" t="inlineStr">
        <is>
          <t>Volume suku cadang, jam preventif, dan jam penggantian diambil dari sheet Suku Cadang dan Jadwal PM.</t>
        </is>
      </c>
    </row>
    <row r="4"/>
    <row r="5">
      <c r="H5" s="37" t="inlineStr">
        <is>
          <t>indeks tahun</t>
        </is>
      </c>
      <c r="I5" s="38" t="n">
        <v>1</v>
      </c>
      <c r="J5" s="38" t="n">
        <v>2</v>
      </c>
      <c r="K5" s="38" t="n">
        <v>3</v>
      </c>
      <c r="L5" s="38" t="n">
        <v>4</v>
      </c>
      <c r="M5" s="38" t="n">
        <v>5</v>
      </c>
    </row>
    <row r="6" ht="30" customHeight="1">
      <c r="A6" s="4" t="inlineStr">
        <is>
          <t>No</t>
        </is>
      </c>
      <c r="B6" s="4" t="inlineStr">
        <is>
          <t>Kategori</t>
        </is>
      </c>
      <c r="C6" s="4" t="inlineStr">
        <is>
          <t>Uraian</t>
        </is>
      </c>
      <c r="D6" s="4" t="inlineStr">
        <is>
          <t>Dasar perhitungan</t>
        </is>
      </c>
      <c r="E6" s="4" t="inlineStr">
        <is>
          <t>Satuan</t>
        </is>
      </c>
      <c r="F6" s="4" t="inlineStr">
        <is>
          <t>Volume per tahun</t>
        </is>
      </c>
      <c r="G6" s="4" t="inlineStr">
        <is>
          <t>Harga satuan th-1 (Rp)</t>
        </is>
      </c>
      <c r="H6" s="4" t="inlineStr">
        <is>
          <t>Interval (tahun)</t>
        </is>
      </c>
      <c r="I6" s="4" t="inlineStr">
        <is>
          <t>Tahun 1</t>
        </is>
      </c>
      <c r="J6" s="4" t="inlineStr">
        <is>
          <t>Tahun 2</t>
        </is>
      </c>
      <c r="K6" s="4" t="inlineStr">
        <is>
          <t>Tahun 3</t>
        </is>
      </c>
      <c r="L6" s="4" t="inlineStr">
        <is>
          <t>Tahun 4</t>
        </is>
      </c>
      <c r="M6" s="4" t="inlineStr">
        <is>
          <t>Tahun 5</t>
        </is>
      </c>
      <c r="N6" s="4" t="inlineStr">
        <is>
          <t>Total 5 tahun (Rp)</t>
        </is>
      </c>
    </row>
    <row r="7">
      <c r="H7" s="39" t="inlineStr">
        <is>
          <t>tahun anggaran</t>
        </is>
      </c>
      <c r="I7" s="6">
        <f>tahun_awal+I5-1</f>
        <v/>
      </c>
      <c r="J7" s="6">
        <f>tahun_awal+J5-1</f>
        <v/>
      </c>
      <c r="K7" s="6">
        <f>tahun_awal+K5-1</f>
        <v/>
      </c>
      <c r="L7" s="6">
        <f>tahun_awal+L5-1</f>
        <v/>
      </c>
      <c r="M7" s="6">
        <f>tahun_awal+M5-1</f>
        <v/>
      </c>
    </row>
    <row r="8">
      <c r="A8" s="9" t="n">
        <v>1</v>
      </c>
      <c r="B8" s="23" t="inlineStr">
        <is>
          <t>Suku cadang penggantian</t>
        </is>
      </c>
      <c r="C8" s="23" t="inlineStr">
        <is>
          <t>Suku cadang penggantian</t>
        </is>
      </c>
      <c r="D8" s="23" t="inlineStr">
        <is>
          <t>Kebutuhan per tahun dari sheet Suku Cadang</t>
        </is>
      </c>
      <c r="E8" s="10" t="inlineStr">
        <is>
          <t>paket</t>
        </is>
      </c>
      <c r="F8" s="40" t="n">
        <v>1</v>
      </c>
      <c r="G8" s="11">
        <f>biaya_sc_tahun</f>
        <v/>
      </c>
      <c r="H8" s="36" t="n">
        <v>1</v>
      </c>
      <c r="I8" s="12">
        <f>IF(MOD(I$5,$H8)=0,$F8*$G8*(1+eskalasi)^(I$5-1),0)</f>
        <v/>
      </c>
      <c r="J8" s="12">
        <f>IF(MOD(J$5,$H8)=0,$F8*$G8*(1+eskalasi)^(J$5-1),0)</f>
        <v/>
      </c>
      <c r="K8" s="12">
        <f>IF(MOD(K$5,$H8)=0,$F8*$G8*(1+eskalasi)^(K$5-1),0)</f>
        <v/>
      </c>
      <c r="L8" s="12">
        <f>IF(MOD(L$5,$H8)=0,$F8*$G8*(1+eskalasi)^(L$5-1),0)</f>
        <v/>
      </c>
      <c r="M8" s="12">
        <f>IF(MOD(M$5,$H8)=0,$F8*$G8*(1+eskalasi)^(M$5-1),0)</f>
        <v/>
      </c>
      <c r="N8" s="12">
        <f>SUM(I8:M8)</f>
        <v/>
      </c>
    </row>
    <row r="9">
      <c r="A9" s="9" t="n">
        <v>2</v>
      </c>
      <c r="B9" s="23" t="inlineStr">
        <is>
          <t>Bahan habis pakai</t>
        </is>
      </c>
      <c r="C9" s="23" t="inlineStr">
        <is>
          <t>Timah solder + flux</t>
        </is>
      </c>
      <c r="D9" s="23" t="inlineStr">
        <is>
          <t>1 paket per triwulan</t>
        </is>
      </c>
      <c r="E9" s="10" t="inlineStr">
        <is>
          <t>paket</t>
        </is>
      </c>
      <c r="F9" s="40" t="n">
        <v>4</v>
      </c>
      <c r="G9" s="32" t="n">
        <v>25000</v>
      </c>
      <c r="H9" s="36" t="n">
        <v>1</v>
      </c>
      <c r="I9" s="12">
        <f>IF(MOD(I$5,$H9)=0,$F9*$G9*(1+eskalasi)^(I$5-1),0)</f>
        <v/>
      </c>
      <c r="J9" s="12">
        <f>IF(MOD(J$5,$H9)=0,$F9*$G9*(1+eskalasi)^(J$5-1),0)</f>
        <v/>
      </c>
      <c r="K9" s="12">
        <f>IF(MOD(K$5,$H9)=0,$F9*$G9*(1+eskalasi)^(K$5-1),0)</f>
        <v/>
      </c>
      <c r="L9" s="12">
        <f>IF(MOD(L$5,$H9)=0,$F9*$G9*(1+eskalasi)^(L$5-1),0)</f>
        <v/>
      </c>
      <c r="M9" s="12">
        <f>IF(MOD(M$5,$H9)=0,$F9*$G9*(1+eskalasi)^(M$5-1),0)</f>
        <v/>
      </c>
      <c r="N9" s="12">
        <f>SUM(I9:M9)</f>
        <v/>
      </c>
    </row>
    <row r="10">
      <c r="A10" s="9" t="n">
        <v>3</v>
      </c>
      <c r="B10" s="23" t="inlineStr">
        <is>
          <t>Bahan habis pakai</t>
        </is>
      </c>
      <c r="C10" s="23" t="inlineStr">
        <is>
          <t>Isopropyl alcohol 99% 1 L</t>
        </is>
      </c>
      <c r="D10" s="23" t="inlineStr">
        <is>
          <t>Pembersih sensor IR saat PM mingguan</t>
        </is>
      </c>
      <c r="E10" s="10" t="inlineStr">
        <is>
          <t>botol</t>
        </is>
      </c>
      <c r="F10" s="40" t="n">
        <v>2</v>
      </c>
      <c r="G10" s="32" t="n">
        <v>90000</v>
      </c>
      <c r="H10" s="36" t="n">
        <v>1</v>
      </c>
      <c r="I10" s="12">
        <f>IF(MOD(I$5,$H10)=0,$F10*$G10*(1+eskalasi)^(I$5-1),0)</f>
        <v/>
      </c>
      <c r="J10" s="12">
        <f>IF(MOD(J$5,$H10)=0,$F10*$G10*(1+eskalasi)^(J$5-1),0)</f>
        <v/>
      </c>
      <c r="K10" s="12">
        <f>IF(MOD(K$5,$H10)=0,$F10*$G10*(1+eskalasi)^(K$5-1),0)</f>
        <v/>
      </c>
      <c r="L10" s="12">
        <f>IF(MOD(L$5,$H10)=0,$F10*$G10*(1+eskalasi)^(L$5-1),0)</f>
        <v/>
      </c>
      <c r="M10" s="12">
        <f>IF(MOD(M$5,$H10)=0,$F10*$G10*(1+eskalasi)^(M$5-1),0)</f>
        <v/>
      </c>
      <c r="N10" s="12">
        <f>SUM(I10:M10)</f>
        <v/>
      </c>
    </row>
    <row r="11">
      <c r="A11" s="9" t="n">
        <v>4</v>
      </c>
      <c r="B11" s="23" t="inlineStr">
        <is>
          <t>Bahan habis pakai</t>
        </is>
      </c>
      <c r="C11" s="23" t="inlineStr">
        <is>
          <t>Cotton bud + kain mikrofiber</t>
        </is>
      </c>
      <c r="D11" s="23" t="inlineStr">
        <is>
          <t>1 paket per triwulan</t>
        </is>
      </c>
      <c r="E11" s="10" t="inlineStr">
        <is>
          <t>paket</t>
        </is>
      </c>
      <c r="F11" s="40" t="n">
        <v>4</v>
      </c>
      <c r="G11" s="32" t="n">
        <v>40000</v>
      </c>
      <c r="H11" s="36" t="n">
        <v>1</v>
      </c>
      <c r="I11" s="12">
        <f>IF(MOD(I$5,$H11)=0,$F11*$G11*(1+eskalasi)^(I$5-1),0)</f>
        <v/>
      </c>
      <c r="J11" s="12">
        <f>IF(MOD(J$5,$H11)=0,$F11*$G11*(1+eskalasi)^(J$5-1),0)</f>
        <v/>
      </c>
      <c r="K11" s="12">
        <f>IF(MOD(K$5,$H11)=0,$F11*$G11*(1+eskalasi)^(K$5-1),0)</f>
        <v/>
      </c>
      <c r="L11" s="12">
        <f>IF(MOD(L$5,$H11)=0,$F11*$G11*(1+eskalasi)^(L$5-1),0)</f>
        <v/>
      </c>
      <c r="M11" s="12">
        <f>IF(MOD(M$5,$H11)=0,$F11*$G11*(1+eskalasi)^(M$5-1),0)</f>
        <v/>
      </c>
      <c r="N11" s="12">
        <f>SUM(I11:M11)</f>
        <v/>
      </c>
    </row>
    <row r="12">
      <c r="A12" s="9" t="n">
        <v>5</v>
      </c>
      <c r="B12" s="23" t="inlineStr">
        <is>
          <t>Bahan habis pakai</t>
        </is>
      </c>
      <c r="C12" s="23" t="inlineStr">
        <is>
          <t>Kabel AWG26, heat shrink, cable tie</t>
        </is>
      </c>
      <c r="D12" s="23" t="inlineStr">
        <is>
          <t>Perbaikan kabel motor &amp; konektor</t>
        </is>
      </c>
      <c r="E12" s="10" t="inlineStr">
        <is>
          <t>paket</t>
        </is>
      </c>
      <c r="F12" s="40" t="n">
        <v>2</v>
      </c>
      <c r="G12" s="32" t="n">
        <v>75000</v>
      </c>
      <c r="H12" s="36" t="n">
        <v>1</v>
      </c>
      <c r="I12" s="12">
        <f>IF(MOD(I$5,$H12)=0,$F12*$G12*(1+eskalasi)^(I$5-1),0)</f>
        <v/>
      </c>
      <c r="J12" s="12">
        <f>IF(MOD(J$5,$H12)=0,$F12*$G12*(1+eskalasi)^(J$5-1),0)</f>
        <v/>
      </c>
      <c r="K12" s="12">
        <f>IF(MOD(K$5,$H12)=0,$F12*$G12*(1+eskalasi)^(K$5-1),0)</f>
        <v/>
      </c>
      <c r="L12" s="12">
        <f>IF(MOD(L$5,$H12)=0,$F12*$G12*(1+eskalasi)^(L$5-1),0)</f>
        <v/>
      </c>
      <c r="M12" s="12">
        <f>IF(MOD(M$5,$H12)=0,$F12*$G12*(1+eskalasi)^(M$5-1),0)</f>
        <v/>
      </c>
      <c r="N12" s="12">
        <f>SUM(I12:M12)</f>
        <v/>
      </c>
    </row>
    <row r="13">
      <c r="A13" s="9" t="n">
        <v>6</v>
      </c>
      <c r="B13" s="23" t="inlineStr">
        <is>
          <t>Bahan habis pakai</t>
        </is>
      </c>
      <c r="C13" s="23" t="inlineStr">
        <is>
          <t>Baut, mur, spacer M3</t>
        </is>
      </c>
      <c r="D13" s="23" t="inlineStr">
        <is>
          <t>Pengganti baut aus/hilang</t>
        </is>
      </c>
      <c r="E13" s="10" t="inlineStr">
        <is>
          <t>paket</t>
        </is>
      </c>
      <c r="F13" s="40" t="n">
        <v>4</v>
      </c>
      <c r="G13" s="32" t="n">
        <v>15000</v>
      </c>
      <c r="H13" s="36" t="n">
        <v>1</v>
      </c>
      <c r="I13" s="12">
        <f>IF(MOD(I$5,$H13)=0,$F13*$G13*(1+eskalasi)^(I$5-1),0)</f>
        <v/>
      </c>
      <c r="J13" s="12">
        <f>IF(MOD(J$5,$H13)=0,$F13*$G13*(1+eskalasi)^(J$5-1),0)</f>
        <v/>
      </c>
      <c r="K13" s="12">
        <f>IF(MOD(K$5,$H13)=0,$F13*$G13*(1+eskalasi)^(K$5-1),0)</f>
        <v/>
      </c>
      <c r="L13" s="12">
        <f>IF(MOD(L$5,$H13)=0,$F13*$G13*(1+eskalasi)^(L$5-1),0)</f>
        <v/>
      </c>
      <c r="M13" s="12">
        <f>IF(MOD(M$5,$H13)=0,$F13*$G13*(1+eskalasi)^(M$5-1),0)</f>
        <v/>
      </c>
      <c r="N13" s="12">
        <f>SUM(I13:M13)</f>
        <v/>
      </c>
    </row>
    <row r="14">
      <c r="A14" s="9" t="n">
        <v>7</v>
      </c>
      <c r="B14" s="23" t="inlineStr">
        <is>
          <t>Bahan habis pakai</t>
        </is>
      </c>
      <c r="C14" s="23" t="inlineStr">
        <is>
          <t>Mata solder pengganti</t>
        </is>
      </c>
      <c r="D14" s="23" t="inlineStr">
        <is>
          <t>Aus pemakaian</t>
        </is>
      </c>
      <c r="E14" s="10" t="inlineStr">
        <is>
          <t>pcs</t>
        </is>
      </c>
      <c r="F14" s="40" t="n">
        <v>2</v>
      </c>
      <c r="G14" s="32" t="n">
        <v>60000</v>
      </c>
      <c r="H14" s="36" t="n">
        <v>1</v>
      </c>
      <c r="I14" s="12">
        <f>IF(MOD(I$5,$H14)=0,$F14*$G14*(1+eskalasi)^(I$5-1),0)</f>
        <v/>
      </c>
      <c r="J14" s="12">
        <f>IF(MOD(J$5,$H14)=0,$F14*$G14*(1+eskalasi)^(J$5-1),0)</f>
        <v/>
      </c>
      <c r="K14" s="12">
        <f>IF(MOD(K$5,$H14)=0,$F14*$G14*(1+eskalasi)^(K$5-1),0)</f>
        <v/>
      </c>
      <c r="L14" s="12">
        <f>IF(MOD(L$5,$H14)=0,$F14*$G14*(1+eskalasi)^(L$5-1),0)</f>
        <v/>
      </c>
      <c r="M14" s="12">
        <f>IF(MOD(M$5,$H14)=0,$F14*$G14*(1+eskalasi)^(M$5-1),0)</f>
        <v/>
      </c>
      <c r="N14" s="12">
        <f>SUM(I14:M14)</f>
        <v/>
      </c>
    </row>
    <row r="15">
      <c r="A15" s="9" t="n">
        <v>8</v>
      </c>
      <c r="B15" s="23" t="inlineStr">
        <is>
          <t>Bahan habis pakai</t>
        </is>
      </c>
      <c r="C15" s="23" t="inlineStr">
        <is>
          <t>Contact cleaner spray</t>
        </is>
      </c>
      <c r="D15" s="23" t="inlineStr">
        <is>
          <t>Pembersih konektor &amp; saklar</t>
        </is>
      </c>
      <c r="E15" s="10" t="inlineStr">
        <is>
          <t>kaleng</t>
        </is>
      </c>
      <c r="F15" s="40" t="n">
        <v>2</v>
      </c>
      <c r="G15" s="32" t="n">
        <v>65000</v>
      </c>
      <c r="H15" s="36" t="n">
        <v>1</v>
      </c>
      <c r="I15" s="12">
        <f>IF(MOD(I$5,$H15)=0,$F15*$G15*(1+eskalasi)^(I$5-1),0)</f>
        <v/>
      </c>
      <c r="J15" s="12">
        <f>IF(MOD(J$5,$H15)=0,$F15*$G15*(1+eskalasi)^(J$5-1),0)</f>
        <v/>
      </c>
      <c r="K15" s="12">
        <f>IF(MOD(K$5,$H15)=0,$F15*$G15*(1+eskalasi)^(K$5-1),0)</f>
        <v/>
      </c>
      <c r="L15" s="12">
        <f>IF(MOD(L$5,$H15)=0,$F15*$G15*(1+eskalasi)^(L$5-1),0)</f>
        <v/>
      </c>
      <c r="M15" s="12">
        <f>IF(MOD(M$5,$H15)=0,$F15*$G15*(1+eskalasi)^(M$5-1),0)</f>
        <v/>
      </c>
      <c r="N15" s="12">
        <f>SUM(I15:M15)</f>
        <v/>
      </c>
    </row>
    <row r="16">
      <c r="A16" s="9" t="n">
        <v>9</v>
      </c>
      <c r="B16" s="23" t="inlineStr">
        <is>
          <t>Bahan habis pakai</t>
        </is>
      </c>
      <c r="C16" s="23" t="inlineStr">
        <is>
          <t>Pita garis lantai 19 mm (roll 33 m)</t>
        </is>
      </c>
      <c r="D16" s="23" t="inlineStr">
        <is>
          <t>Panjang lintasan x bagian yang diganti / 33 m per roll</t>
        </is>
      </c>
      <c r="E16" s="10" t="inlineStr">
        <is>
          <t>roll</t>
        </is>
      </c>
      <c r="F16" s="30">
        <f>ROUNDUP(panjang_lintasan*ganti_lintasan/33,0)</f>
        <v/>
      </c>
      <c r="G16" s="32" t="n">
        <v>180000</v>
      </c>
      <c r="H16" s="36" t="n">
        <v>1</v>
      </c>
      <c r="I16" s="12">
        <f>IF(MOD(I$5,$H16)=0,$F16*$G16*(1+eskalasi)^(I$5-1),0)</f>
        <v/>
      </c>
      <c r="J16" s="12">
        <f>IF(MOD(J$5,$H16)=0,$F16*$G16*(1+eskalasi)^(J$5-1),0)</f>
        <v/>
      </c>
      <c r="K16" s="12">
        <f>IF(MOD(K$5,$H16)=0,$F16*$G16*(1+eskalasi)^(K$5-1),0)</f>
        <v/>
      </c>
      <c r="L16" s="12">
        <f>IF(MOD(L$5,$H16)=0,$F16*$G16*(1+eskalasi)^(L$5-1),0)</f>
        <v/>
      </c>
      <c r="M16" s="12">
        <f>IF(MOD(M$5,$H16)=0,$F16*$G16*(1+eskalasi)^(M$5-1),0)</f>
        <v/>
      </c>
      <c r="N16" s="12">
        <f>SUM(I16:M16)</f>
        <v/>
      </c>
    </row>
    <row r="17">
      <c r="A17" s="9" t="n">
        <v>10</v>
      </c>
      <c r="B17" s="23" t="inlineStr">
        <is>
          <t>Tenaga kerja pemeliharaan</t>
        </is>
      </c>
      <c r="C17" s="23" t="inlineStr">
        <is>
          <t>Pemeliharaan preventif oleh teknisi</t>
        </is>
      </c>
      <c r="D17" s="23" t="inlineStr">
        <is>
          <t>Jam teknisi dari sheet Jadwal PM</t>
        </is>
      </c>
      <c r="E17" s="10" t="inlineStr">
        <is>
          <t>jam</t>
        </is>
      </c>
      <c r="F17" s="24">
        <f>jam_pm</f>
        <v/>
      </c>
      <c r="G17" s="11">
        <f>tarif_teknisi</f>
        <v/>
      </c>
      <c r="H17" s="36" t="n">
        <v>1</v>
      </c>
      <c r="I17" s="12">
        <f>IF(MOD(I$5,$H17)=0,$F17*$G17*(1+eskalasi)^(I$5-1),0)</f>
        <v/>
      </c>
      <c r="J17" s="12">
        <f>IF(MOD(J$5,$H17)=0,$F17*$G17*(1+eskalasi)^(J$5-1),0)</f>
        <v/>
      </c>
      <c r="K17" s="12">
        <f>IF(MOD(K$5,$H17)=0,$F17*$G17*(1+eskalasi)^(K$5-1),0)</f>
        <v/>
      </c>
      <c r="L17" s="12">
        <f>IF(MOD(L$5,$H17)=0,$F17*$G17*(1+eskalasi)^(L$5-1),0)</f>
        <v/>
      </c>
      <c r="M17" s="12">
        <f>IF(MOD(M$5,$H17)=0,$F17*$G17*(1+eskalasi)^(M$5-1),0)</f>
        <v/>
      </c>
      <c r="N17" s="12">
        <f>SUM(I17:M17)</f>
        <v/>
      </c>
    </row>
    <row r="18">
      <c r="A18" s="9" t="n">
        <v>11</v>
      </c>
      <c r="B18" s="23" t="inlineStr">
        <is>
          <t>Tenaga kerja pemeliharaan</t>
        </is>
      </c>
      <c r="C18" s="23" t="inlineStr">
        <is>
          <t>Penggantian komponen (terencana + korektif)</t>
        </is>
      </c>
      <c r="D18" s="23" t="inlineStr">
        <is>
          <t>Jumlah penggantian x MTTR dari sheet Suku Cadang</t>
        </is>
      </c>
      <c r="E18" s="10" t="inlineStr">
        <is>
          <t>jam</t>
        </is>
      </c>
      <c r="F18" s="24">
        <f>jam_ganti</f>
        <v/>
      </c>
      <c r="G18" s="11">
        <f>tarif_teknisi</f>
        <v/>
      </c>
      <c r="H18" s="36" t="n">
        <v>1</v>
      </c>
      <c r="I18" s="12">
        <f>IF(MOD(I$5,$H18)=0,$F18*$G18*(1+eskalasi)^(I$5-1),0)</f>
        <v/>
      </c>
      <c r="J18" s="12">
        <f>IF(MOD(J$5,$H18)=0,$F18*$G18*(1+eskalasi)^(J$5-1),0)</f>
        <v/>
      </c>
      <c r="K18" s="12">
        <f>IF(MOD(K$5,$H18)=0,$F18*$G18*(1+eskalasi)^(K$5-1),0)</f>
        <v/>
      </c>
      <c r="L18" s="12">
        <f>IF(MOD(L$5,$H18)=0,$F18*$G18*(1+eskalasi)^(L$5-1),0)</f>
        <v/>
      </c>
      <c r="M18" s="12">
        <f>IF(MOD(M$5,$H18)=0,$F18*$G18*(1+eskalasi)^(M$5-1),0)</f>
        <v/>
      </c>
      <c r="N18" s="12">
        <f>SUM(I18:M18)</f>
        <v/>
      </c>
    </row>
    <row r="19">
      <c r="A19" s="9" t="n">
        <v>12</v>
      </c>
      <c r="B19" s="23" t="inlineStr">
        <is>
          <t>Kalibrasi alat ukur</t>
        </is>
      </c>
      <c r="C19" s="23" t="inlineStr">
        <is>
          <t>Kalibrasi multimeter acuan (lab terakreditasi KAN)</t>
        </is>
      </c>
      <c r="D19" s="23" t="inlineStr">
        <is>
          <t>1x per tahun; alat lain diverifikasi internal terhadap multimeter acuan</t>
        </is>
      </c>
      <c r="E19" s="10" t="inlineStr">
        <is>
          <t>kali</t>
        </is>
      </c>
      <c r="F19" s="40" t="n">
        <v>1</v>
      </c>
      <c r="G19" s="32" t="n">
        <v>400000</v>
      </c>
      <c r="H19" s="36" t="n">
        <v>1</v>
      </c>
      <c r="I19" s="12">
        <f>IF(MOD(I$5,$H19)=0,$F19*$G19*(1+eskalasi)^(I$5-1),0)</f>
        <v/>
      </c>
      <c r="J19" s="12">
        <f>IF(MOD(J$5,$H19)=0,$F19*$G19*(1+eskalasi)^(J$5-1),0)</f>
        <v/>
      </c>
      <c r="K19" s="12">
        <f>IF(MOD(K$5,$H19)=0,$F19*$G19*(1+eskalasi)^(K$5-1),0)</f>
        <v/>
      </c>
      <c r="L19" s="12">
        <f>IF(MOD(L$5,$H19)=0,$F19*$G19*(1+eskalasi)^(L$5-1),0)</f>
        <v/>
      </c>
      <c r="M19" s="12">
        <f>IF(MOD(M$5,$H19)=0,$F19*$G19*(1+eskalasi)^(M$5-1),0)</f>
        <v/>
      </c>
      <c r="N19" s="12">
        <f>SUM(I19:M19)</f>
        <v/>
      </c>
    </row>
    <row r="20">
      <c r="A20" s="9" t="n">
        <v>13</v>
      </c>
      <c r="B20" s="23" t="inlineStr">
        <is>
          <t>Pelatihan penyegaran</t>
        </is>
      </c>
      <c r="C20" s="23" t="inlineStr">
        <is>
          <t>Pelatihan penyegaran teknisi &amp; operator</t>
        </is>
      </c>
      <c r="D20" s="23" t="inlineStr">
        <is>
          <t>1 hari per tahun, materi + konsumsi</t>
        </is>
      </c>
      <c r="E20" s="10" t="inlineStr">
        <is>
          <t>paket</t>
        </is>
      </c>
      <c r="F20" s="40" t="n">
        <v>1</v>
      </c>
      <c r="G20" s="32" t="n">
        <v>500000</v>
      </c>
      <c r="H20" s="36" t="n">
        <v>1</v>
      </c>
      <c r="I20" s="12">
        <f>IF(MOD(I$5,$H20)=0,$F20*$G20*(1+eskalasi)^(I$5-1),0)</f>
        <v/>
      </c>
      <c r="J20" s="12">
        <f>IF(MOD(J$5,$H20)=0,$F20*$G20*(1+eskalasi)^(J$5-1),0)</f>
        <v/>
      </c>
      <c r="K20" s="12">
        <f>IF(MOD(K$5,$H20)=0,$F20*$G20*(1+eskalasi)^(K$5-1),0)</f>
        <v/>
      </c>
      <c r="L20" s="12">
        <f>IF(MOD(L$5,$H20)=0,$F20*$G20*(1+eskalasi)^(L$5-1),0)</f>
        <v/>
      </c>
      <c r="M20" s="12">
        <f>IF(MOD(M$5,$H20)=0,$F20*$G20*(1+eskalasi)^(M$5-1),0)</f>
        <v/>
      </c>
      <c r="N20" s="12">
        <f>SUM(I20:M20)</f>
        <v/>
      </c>
    </row>
    <row r="21">
      <c r="A21" s="9" t="n">
        <v>14</v>
      </c>
      <c r="B21" s="23" t="inlineStr">
        <is>
          <t>Listrik pengisian baterai</t>
        </is>
      </c>
      <c r="C21" s="23" t="inlineStr">
        <is>
          <t>Listrik pengisian baterai</t>
        </is>
      </c>
      <c r="D21" s="23" t="inlineStr">
        <is>
          <t>Jumlah pengisian x energi per pengisian / 1000</t>
        </is>
      </c>
      <c r="E21" s="10" t="inlineStr">
        <is>
          <t>kWh</t>
        </is>
      </c>
      <c r="F21" s="24">
        <f>n_cas*wh_cas/1000</f>
        <v/>
      </c>
      <c r="G21" s="11">
        <f>tarif_listrik</f>
        <v/>
      </c>
      <c r="H21" s="36" t="n">
        <v>1</v>
      </c>
      <c r="I21" s="12">
        <f>IF(MOD(I$5,$H21)=0,$F21*$G21*(1+eskalasi)^(I$5-1),0)</f>
        <v/>
      </c>
      <c r="J21" s="12">
        <f>IF(MOD(J$5,$H21)=0,$F21*$G21*(1+eskalasi)^(J$5-1),0)</f>
        <v/>
      </c>
      <c r="K21" s="12">
        <f>IF(MOD(K$5,$H21)=0,$F21*$G21*(1+eskalasi)^(K$5-1),0)</f>
        <v/>
      </c>
      <c r="L21" s="12">
        <f>IF(MOD(L$5,$H21)=0,$F21*$G21*(1+eskalasi)^(L$5-1),0)</f>
        <v/>
      </c>
      <c r="M21" s="12">
        <f>IF(MOD(M$5,$H21)=0,$F21*$G21*(1+eskalasi)^(M$5-1),0)</f>
        <v/>
      </c>
      <c r="N21" s="12">
        <f>SUM(I21:M21)</f>
        <v/>
      </c>
    </row>
    <row r="22">
      <c r="C22" s="14" t="inlineStr">
        <is>
          <t>Subtotal sebelum kontingensi</t>
        </is>
      </c>
      <c r="I22" s="15">
        <f>SUM(I8:I21)</f>
        <v/>
      </c>
      <c r="J22" s="15">
        <f>SUM(J8:J21)</f>
        <v/>
      </c>
      <c r="K22" s="15">
        <f>SUM(K8:K21)</f>
        <v/>
      </c>
      <c r="L22" s="15">
        <f>SUM(L8:L21)</f>
        <v/>
      </c>
      <c r="M22" s="15">
        <f>SUM(M8:M21)</f>
        <v/>
      </c>
      <c r="N22" s="15">
        <f>SUM(N8:N21)</f>
        <v/>
      </c>
    </row>
    <row r="23">
      <c r="B23" s="5" t="inlineStr">
        <is>
          <t>Kontingensi</t>
        </is>
      </c>
      <c r="C23" s="5" t="inlineStr">
        <is>
          <t>Kontingensi OPEX</t>
        </is>
      </c>
      <c r="D23" s="5" t="inlineStr">
        <is>
          <t>Persentase kontingensi x subtotal</t>
        </is>
      </c>
      <c r="I23" s="41">
        <f>kontingensi*I22</f>
        <v/>
      </c>
      <c r="J23" s="41">
        <f>kontingensi*J22</f>
        <v/>
      </c>
      <c r="K23" s="41">
        <f>kontingensi*K22</f>
        <v/>
      </c>
      <c r="L23" s="41">
        <f>kontingensi*L22</f>
        <v/>
      </c>
      <c r="M23" s="41">
        <f>kontingensi*M22</f>
        <v/>
      </c>
      <c r="N23" s="41">
        <f>SUM(I23:M23)</f>
        <v/>
      </c>
    </row>
    <row r="24">
      <c r="C24" s="14" t="inlineStr">
        <is>
          <t>Total OPEX</t>
        </is>
      </c>
      <c r="I24" s="15">
        <f>I22+I23</f>
        <v/>
      </c>
      <c r="J24" s="15">
        <f>J22+J23</f>
        <v/>
      </c>
      <c r="K24" s="15">
        <f>K22+K23</f>
        <v/>
      </c>
      <c r="L24" s="15">
        <f>L22+L23</f>
        <v/>
      </c>
      <c r="M24" s="15">
        <f>M22+M23</f>
        <v/>
      </c>
      <c r="N24" s="15">
        <f>N22+N23</f>
        <v/>
      </c>
    </row>
  </sheetData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2026-10-13T01:58:18Z</dcterms:created>
  <dcterms:modified xsi:type="dcterms:W3CDTF">2026-10-13T02:04:59Z</dcterms:modified>
</cp:coreProperties>
</file>